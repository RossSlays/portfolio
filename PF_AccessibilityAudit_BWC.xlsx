
<file path=[Content_Types].xml><?xml version="1.0" encoding="utf-8"?>
<Types xmlns="http://schemas.openxmlformats.org/package/2006/content-types">
  <Default ContentType="application/vnd.openxmlformats-officedocument.vmlDrawing" Extension="vml"/>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5.xml"/>
  <Override ContentType="application/vnd.openxmlformats-officedocument.spreadsheetml.worksheet+xml" PartName="/xl/worksheets/sheet4.xml"/>
  <Override ContentType="application/vnd.openxmlformats-officedocument.spreadsheetml.worksheet+xml" PartName="/xl/worksheets/sheet10.xml"/>
  <Override ContentType="application/vnd.openxmlformats-officedocument.spreadsheetml.worksheet+xml" PartName="/xl/worksheets/sheet11.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worksheet+xml" PartName="/xl/worksheets/sheet6.xml"/>
  <Override ContentType="application/vnd.openxmlformats-officedocument.spreadsheetml.worksheet+xml" PartName="/xl/worksheets/sheet9.xml"/>
  <Override ContentType="application/vnd.openxmlformats-officedocument.spreadsheetml.worksheet+xml" PartName="/xl/worksheets/sheet8.xml"/>
  <Override ContentType="application/vnd.openxmlformats-officedocument.spreadsheetml.worksheet+xml" PartName="/xl/worksheets/sheet7.xml"/>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10.xml"/>
  <Override ContentType="application/vnd.openxmlformats-officedocument.drawing+xml" PartName="/xl/drawings/drawing9.xml"/>
  <Override ContentType="application/vnd.openxmlformats-officedocument.drawing+xml" PartName="/xl/drawings/drawing8.xml"/>
  <Override ContentType="application/vnd.openxmlformats-officedocument.drawing+xml" PartName="/xl/drawings/drawing3.xml"/>
  <Override ContentType="application/vnd.openxmlformats-officedocument.drawing+xml" PartName="/xl/drawings/drawing6.xml"/>
  <Override ContentType="application/vnd.openxmlformats-officedocument.drawing+xml" PartName="/xl/drawings/drawing5.xml"/>
  <Override ContentType="application/vnd.openxmlformats-officedocument.drawing+xml" PartName="/xl/drawings/drawing1.xml"/>
  <Override ContentType="application/vnd.openxmlformats-officedocument.drawing+xml" PartName="/xl/drawings/drawing7.xml"/>
  <Override ContentType="application/vnd.openxmlformats-officedocument.drawing+xml" PartName="/xl/drawings/drawing2.xml"/>
  <Override ContentType="application/vnd.openxmlformats-officedocument.drawing+xml" PartName="/xl/drawings/drawing11.xml"/>
  <Override ContentType="application/vnd.ms-excel.person+xml" PartName="/xl/persons/person.xml"/>
  <Override ContentType="application/vnd.openxmlformats-officedocument.spreadsheetml.styles+xml" PartName="/xl/styles.xml"/>
  <Override ContentType="application/vnd.openxmlformats-officedocument.spreadsheetml.comments+xml" PartName="/xl/comments1.xml"/>
  <Override ContentType="application/vnd.openxmlformats-officedocument.spreadsheetml.comments+xml" PartName="/xl/comments4.xml"/>
  <Override ContentType="application/vnd.openxmlformats-officedocument.spreadsheetml.comments+xml" PartName="/xl/comments3.xml"/>
  <Override ContentType="application/vnd.openxmlformats-officedocument.spreadsheetml.comments+xml" PartName="/xl/comments2.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Dashboard" sheetId="1" r:id="rId5"/>
    <sheet state="visible" name="Issues Log" sheetId="2" r:id="rId6"/>
    <sheet state="visible" name="Content" sheetId="3" r:id="rId7"/>
    <sheet state="visible" name="Design" sheetId="4" r:id="rId8"/>
    <sheet state="visible" name="Development" sheetId="5" r:id="rId9"/>
    <sheet state="visible" name="QA_Keyboard" sheetId="6" r:id="rId10"/>
    <sheet state="visible" name="QA_Forms" sheetId="7" r:id="rId11"/>
    <sheet state="visible" name="QA_Colour" sheetId="8" r:id="rId12"/>
    <sheet state="visible" name="QA_ScreenReader" sheetId="9" r:id="rId13"/>
    <sheet state="visible" name="QA_Media" sheetId="10" r:id="rId14"/>
    <sheet state="visible" name="Testing Tools" sheetId="11" r:id="rId15"/>
  </sheets>
  <definedNames>
    <definedName hidden="1" localSheetId="1" name="_xlnm._FilterDatabase">'Issues Log'!$A$7:$G$7</definedName>
    <definedName hidden="1" localSheetId="2" name="_xlnm._FilterDatabase">Content!$A$2:$G$24</definedName>
    <definedName hidden="1" localSheetId="3" name="_xlnm._FilterDatabase">Design!$A$2:$G$29</definedName>
    <definedName hidden="1" localSheetId="4" name="_xlnm._FilterDatabase">Development!$A$2:$G$28</definedName>
    <definedName hidden="1" localSheetId="5" name="_xlnm._FilterDatabase">QA_Keyboard!$A$2:$G$14</definedName>
    <definedName hidden="1" localSheetId="6" name="_xlnm._FilterDatabase">QA_Forms!$A$2:$G$15</definedName>
    <definedName hidden="1" localSheetId="7" name="_xlnm._FilterDatabase">QA_Colour!$A$2:$G$8</definedName>
    <definedName hidden="1" localSheetId="8" name="_xlnm._FilterDatabase">QA_ScreenReader!$A$2:$G$15</definedName>
    <definedName hidden="1" localSheetId="9" name="_xlnm._FilterDatabase">QA_Media!$A$2:$G$16</definedName>
  </definedNames>
  <calcPr/>
</workbook>
</file>

<file path=xl/comments1.xml><?xml version="1.0" encoding="utf-8"?>
<comments xmlns:r="http://schemas.openxmlformats.org/officeDocument/2006/relationships" xmlns="http://schemas.openxmlformats.org/spreadsheetml/2006/main" xmlns:xr="http://schemas.microsoft.com/office/spreadsheetml/2014/revision">
  <authors>
    <author/>
  </authors>
  <commentList>
    <comment authorId="0" ref="D20">
      <text>
        <t xml:space="preserve">Any sticky functionality or direct contact routes should be in the same location on pages. (Contact in header or footer, live chat in bottom right corner.)</t>
      </text>
    </comment>
    <comment authorId="0" ref="D19">
      <text>
        <t xml:space="preserve">Buttons on forms should be consistent, all should be "Submit" as an example. </t>
      </text>
    </comment>
    <comment authorId="0" ref="D15">
      <text>
        <t xml:space="preserve">Headings and labels should be obvious and not broad such as "information" as context is missing. "Billing information" is more suitable as the user instantly gains context.</t>
      </text>
    </comment>
    <comment authorId="0" ref="D14">
      <text>
        <t xml:space="preserve">Links and buttons should be obvious of their action without relying on context from content associated. </t>
      </text>
    </comment>
    <comment authorId="0" ref="D12">
      <text>
        <t xml:space="preserve">Links, buttons or text should not give instructions such as "Click the blue button below" or "click the burger to open the menu".</t>
      </text>
    </comment>
    <comment authorId="0" ref="D9">
      <text>
        <t xml:space="preserve">Video streaming services which have subtitles available for live streaming 
are acceptable.</t>
      </text>
    </comment>
    <comment authorId="0" ref="D8">
      <text>
        <t xml:space="preserve">If a video is on a page or within an article and plays an crucial part an alternative method must be present.</t>
      </text>
    </comment>
    <comment authorId="0" ref="D24">
      <text>
        <t xml:space="preserve">A score of 60+ is required for a pass. Ideally the homepage, contact page and any major pages with content should be checked.</t>
      </text>
    </comment>
    <comment authorId="0" ref="D7">
      <text>
        <t xml:space="preserve">Video streaming services which have subtitles available are acceptable.</t>
      </text>
    </comment>
    <comment authorId="0" ref="D5">
      <text>
        <t xml:space="preserve">Textual content available for articles or pages that just contain media players for audio. This can be on the page or via a downloadable document.</t>
      </text>
    </comment>
    <comment authorId="0" ref="D21">
      <text>
        <t xml:space="preserve">Text should be available rather than just fields highlighted on error.</t>
      </text>
    </comment>
  </commentList>
</comments>
</file>

<file path=xl/comments2.xml><?xml version="1.0" encoding="utf-8"?>
<comments xmlns:r="http://schemas.openxmlformats.org/officeDocument/2006/relationships" xmlns="http://schemas.openxmlformats.org/spreadsheetml/2006/main" xmlns:xr="http://schemas.microsoft.com/office/spreadsheetml/2014/revision">
  <authors>
    <author/>
  </authors>
  <commentList>
    <comment authorId="0" ref="D4">
      <text>
        <t xml:space="preserve">An example would be making sure that forms don't just highlight labels or fields in red when in an error state. </t>
      </text>
    </comment>
    <comment authorId="0" ref="D29">
      <text>
        <t xml:space="preserve">Maths challenges should be avoided.</t>
      </text>
    </comment>
    <comment authorId="0" ref="D28">
      <text>
        <t xml:space="preserve">in the same process a user should not have to enter the same piece of information more than once. Email addresses, shipping and billing addresses etc.</t>
      </text>
    </comment>
    <comment authorId="0" ref="D27">
      <text>
        <t xml:space="preserve">Confirmation steps should be in place, showing the user the overall details allowing them to confirm or decline before the process is complete.</t>
      </text>
    </comment>
    <comment authorId="0" ref="D9">
      <text>
        <t xml:space="preserve">Exclusions to this are allowed if extended sessions will ruin the experience for others. 
This is applicable for sessions that are below 20 hours.</t>
      </text>
    </comment>
    <comment authorId="0" ref="D8">
      <text>
        <t xml:space="preserve">Any videos that have audio, if set to autoplay should be muted on load.</t>
      </text>
    </comment>
    <comment authorId="0" ref="D22">
      <text>
        <t xml:space="preserve">Next &amp; Previous buttons, or auto scroll based on hotspot are valid.</t>
      </text>
    </comment>
  </commentList>
</comments>
</file>

<file path=xl/comments3.xml><?xml version="1.0" encoding="utf-8"?>
<comments xmlns:r="http://schemas.openxmlformats.org/officeDocument/2006/relationships" xmlns="http://schemas.openxmlformats.org/spreadsheetml/2006/main" xmlns:xr="http://schemas.microsoft.com/office/spreadsheetml/2014/revision">
  <authors>
    <author/>
  </authors>
  <commentList>
    <comment authorId="0" ref="D9">
      <text>
        <t xml:space="preserve">Fields should make of of auto-complete tokens to allow for fields to be populated by the browser or add-ons.</t>
      </text>
    </comment>
    <comment authorId="0" ref="D25">
      <text>
        <t xml:space="preserve">This should be tested via voice over. (cmd + F5)</t>
      </text>
    </comment>
    <comment authorId="0" ref="D23">
      <text>
        <t xml:space="preserve">All UI components should be correctly labeled for screen readers.
</t>
      </text>
    </comment>
  </commentList>
</comments>
</file>

<file path=xl/comments4.xml><?xml version="1.0" encoding="utf-8"?>
<comments xmlns:r="http://schemas.openxmlformats.org/officeDocument/2006/relationships" xmlns="http://schemas.openxmlformats.org/spreadsheetml/2006/main" xmlns:xr="http://schemas.microsoft.com/office/spreadsheetml/2014/revision">
  <authors>
    <author/>
  </authors>
  <commentList>
    <comment authorId="0" ref="D5">
      <text>
        <t xml:space="preserve">This should be tested via Voice Over (cmd + F5)</t>
      </text>
    </comment>
  </commentList>
</comments>
</file>

<file path=xl/sharedStrings.xml><?xml version="1.0" encoding="utf-8"?>
<sst xmlns="http://schemas.openxmlformats.org/spreadsheetml/2006/main" count="775" uniqueCount="324">
  <si>
    <t>WCAG 2.2 Accessibility Audit</t>
  </si>
  <si>
    <t>Interactive checklist · Levels A, AA &amp; AAA · For Strategists, Designers, Developers &amp; QA Teams</t>
  </si>
  <si>
    <t>Project Details</t>
  </si>
  <si>
    <t>Client Name</t>
  </si>
  <si>
    <t>The Bank Workers Charity</t>
  </si>
  <si>
    <t>Website URL</t>
  </si>
  <si>
    <t>https://www.bwcharity.org.uk/</t>
  </si>
  <si>
    <t>Audit Date</t>
  </si>
  <si>
    <t>Auditor</t>
  </si>
  <si>
    <t>Charlotte Coveney</t>
  </si>
  <si>
    <t>Section</t>
  </si>
  <si>
    <t>Total Items</t>
  </si>
  <si>
    <t>Pass</t>
  </si>
  <si>
    <t>Fail / Issue</t>
  </si>
  <si>
    <t>N/A</t>
  </si>
  <si>
    <t>Score</t>
  </si>
  <si>
    <t>Section 1 — Content</t>
  </si>
  <si>
    <t>Section 2 — Design</t>
  </si>
  <si>
    <t>Section 3 — Development</t>
  </si>
  <si>
    <t>Section 4 — QA Keyboard</t>
  </si>
  <si>
    <t>Section 5 — QA Forms</t>
  </si>
  <si>
    <t>Section 6 — QA Colour</t>
  </si>
  <si>
    <t>Section 7 — QA Screen Reader</t>
  </si>
  <si>
    <t>Section 8 — QA Media</t>
  </si>
  <si>
    <t>TOTAL</t>
  </si>
  <si>
    <t>Conformance Summary</t>
  </si>
  <si>
    <t>Level</t>
  </si>
  <si>
    <t>Required</t>
  </si>
  <si>
    <t>Pass / N/A</t>
  </si>
  <si>
    <t>Fail</t>
  </si>
  <si>
    <t>Not Tested</t>
  </si>
  <si>
    <t>Conformance</t>
  </si>
  <si>
    <t>A</t>
  </si>
  <si>
    <t>AA</t>
  </si>
  <si>
    <t>AAA</t>
  </si>
  <si>
    <t>BP</t>
  </si>
  <si>
    <t>WCAG Conformance Levels</t>
  </si>
  <si>
    <r>
      <rPr>
        <rFont val="Montserrat"/>
        <b/>
        <color rgb="FF1A1A2E"/>
        <sz val="10.0"/>
      </rPr>
      <t>Essential</t>
    </r>
    <r>
      <rPr>
        <rFont val="Montserrat"/>
        <color rgb="FF1A1A2E"/>
        <sz val="10.0"/>
      </rPr>
      <t xml:space="preserve"> — assistive tech may fail without this</t>
    </r>
  </si>
  <si>
    <r>
      <rPr>
        <rFont val="Montserrat"/>
        <b/>
        <color rgb="FF1A1A2E"/>
        <sz val="10.0"/>
      </rPr>
      <t>Ideal / Legal minimum</t>
    </r>
    <r>
      <rPr>
        <rFont val="Montserrat"/>
        <color rgb="FF1A1A2E"/>
        <sz val="10.0"/>
      </rPr>
      <t xml:space="preserve"> — required for most public services</t>
    </r>
  </si>
  <si>
    <r>
      <rPr>
        <rFont val="Montserrat"/>
        <b/>
        <color rgb="FF1A1A2E"/>
        <sz val="10.0"/>
      </rPr>
      <t>Specialised</t>
    </r>
    <r>
      <rPr>
        <rFont val="Montserrat"/>
        <color rgb="FF1A1A2E"/>
        <sz val="10.0"/>
      </rPr>
      <t xml:space="preserve"> — maximum inclusion target</t>
    </r>
  </si>
  <si>
    <r>
      <rPr>
        <rFont val="Montserrat"/>
        <b/>
        <color rgb="FF1A1A2E"/>
        <sz val="10.0"/>
      </rPr>
      <t>Best Practice</t>
    </r>
    <r>
      <rPr>
        <rFont val="Montserrat"/>
        <color rgb="FF1A1A2E"/>
        <sz val="10.0"/>
      </rPr>
      <t xml:space="preserve"> — not formal WCAG but strongly recommended</t>
    </r>
  </si>
  <si>
    <t>Status Key</t>
  </si>
  <si>
    <t>Criterion confirmed as meeting requirements</t>
  </si>
  <si>
    <t>Criterion fails — issue found, action required</t>
  </si>
  <si>
    <t>Not applicable to this project / page</t>
  </si>
  <si>
    <t>Not yet reviewed</t>
  </si>
  <si>
    <t>Issues Log — WCAG Accessibility Audit</t>
  </si>
  <si>
    <t>Client</t>
  </si>
  <si>
    <t>Website</t>
  </si>
  <si>
    <t>Fail items only — auto-populated from checklist sheets as you work through each section.</t>
  </si>
  <si>
    <t>WCAG Criterion</t>
  </si>
  <si>
    <t>Description</t>
  </si>
  <si>
    <t>Owner</t>
  </si>
  <si>
    <t>Status</t>
  </si>
  <si>
    <t>Notes</t>
  </si>
  <si>
    <t>#</t>
  </si>
  <si>
    <t>Description / What to Check</t>
  </si>
  <si>
    <t>Text Alternatives &amp; Media</t>
  </si>
  <si>
    <t>1.1.1</t>
  </si>
  <si>
    <t>Images have meaningful alternative text (or null alt if decorative)</t>
  </si>
  <si>
    <t>Content</t>
  </si>
  <si>
    <t>Illustrations missing alt tags (Wellbeing Pulse pages, Get involved pages) and Wellbeing Pulse cover image. All images are decorative and therefore low priority.</t>
  </si>
  <si>
    <t>1.2.1</t>
  </si>
  <si>
    <t>Transcripts provided for audio-only content (podcasts, recordings)</t>
  </si>
  <si>
    <t>Visual-only video content has an audio or text equivalent</t>
  </si>
  <si>
    <t>1.2.2</t>
  </si>
  <si>
    <t>Captions provided for pre-recorded video with audio</t>
  </si>
  <si>
    <t>Client stories videos missing captions</t>
  </si>
  <si>
    <t>1.2.3</t>
  </si>
  <si>
    <t>Audio description or text alternative available for pre-recorded video that play a functional role</t>
  </si>
  <si>
    <t>1.2.4</t>
  </si>
  <si>
    <t>Captions provided for live video with audio (live stream content)</t>
  </si>
  <si>
    <t>1.2.5</t>
  </si>
  <si>
    <t>Audio descriptions provided for pre-recorded video</t>
  </si>
  <si>
    <t>Client stories videos missing audio descriptions</t>
  </si>
  <si>
    <t>Presentation &amp; Links</t>
  </si>
  <si>
    <t>1.3.3</t>
  </si>
  <si>
    <t>Instructions do not rely solely on shape, size, sound, location or orientation</t>
  </si>
  <si>
    <t>1.4.5</t>
  </si>
  <si>
    <t>Images of text are not used (logos excepted)</t>
  </si>
  <si>
    <t>2.4.4</t>
  </si>
  <si>
    <t>Ambiguous link text avoided; link purpose clear from link text alone</t>
  </si>
  <si>
    <r>
      <rPr>
        <rFont val="Montserrat"/>
        <i/>
        <color rgb="FF1A1A2E"/>
        <sz val="9.0"/>
      </rPr>
      <t>"Tell me more, learn more, show me more"</t>
    </r>
    <r>
      <rPr>
        <rFont val="Montserrat"/>
        <color rgb="FF1A1A2E"/>
        <sz val="9.0"/>
      </rPr>
      <t xml:space="preserve"> links on homepage should be more descriptive e.g. "</t>
    </r>
    <r>
      <rPr>
        <rFont val="Montserrat"/>
        <i/>
        <color rgb="FF1A1A2E"/>
        <sz val="9.0"/>
      </rPr>
      <t>Learn more about us, Read Daisy's story, Show me more client stories"</t>
    </r>
  </si>
  <si>
    <t>2.4.6</t>
  </si>
  <si>
    <t>Headings and labels clearly describe topic or purpose</t>
  </si>
  <si>
    <t>Language &amp; Errors</t>
  </si>
  <si>
    <t>3.1.1</t>
  </si>
  <si>
    <t>Language of page is set correctly on the html element</t>
  </si>
  <si>
    <t>Dev</t>
  </si>
  <si>
    <t>3.1.2</t>
  </si>
  <si>
    <t>Language changes within content are marked up with correct lang codes</t>
  </si>
  <si>
    <t>Content / Dev</t>
  </si>
  <si>
    <t>3.2.4</t>
  </si>
  <si>
    <t>Terminology for functionality is used consistently across the service</t>
  </si>
  <si>
    <r>
      <rPr>
        <rFont val="Montserrat"/>
        <color rgb="FF1A1A2E"/>
        <sz val="9.0"/>
      </rPr>
      <t xml:space="preserve">Form submission buttons vary between </t>
    </r>
    <r>
      <rPr>
        <rFont val="Montserrat"/>
        <i/>
        <color rgb="FF1A1A2E"/>
        <sz val="9.0"/>
      </rPr>
      <t>Submit</t>
    </r>
    <r>
      <rPr>
        <rFont val="Montserrat"/>
        <color rgb="FF1A1A2E"/>
        <sz val="9.0"/>
      </rPr>
      <t xml:space="preserve"> and </t>
    </r>
    <r>
      <rPr>
        <rFont val="Montserrat"/>
        <i/>
        <color rgb="FF1A1A2E"/>
        <sz val="9.0"/>
      </rPr>
      <t>Sign up now/Sign up</t>
    </r>
    <r>
      <rPr>
        <rFont val="Montserrat"/>
        <color rgb="FF1A1A2E"/>
        <sz val="9.0"/>
      </rPr>
      <t xml:space="preserve"> for webinar</t>
    </r>
  </si>
  <si>
    <t>3.2.6</t>
  </si>
  <si>
    <t>Any help provided (e.g. FAQs, chat) is consistently positioned</t>
  </si>
  <si>
    <t>3.3.1</t>
  </si>
  <si>
    <t>Errors are identified and described to the user in text, not colour alone</t>
  </si>
  <si>
    <t>3.3.2</t>
  </si>
  <si>
    <t>Labels and instructions are visible and appropriate for all inputs</t>
  </si>
  <si>
    <t>3.3.3</t>
  </si>
  <si>
    <t>Error messages are useful and suggest valid corrections</t>
  </si>
  <si>
    <t>3.1.5</t>
  </si>
  <si>
    <t>Content is written at an appropriate reading level (see webfx.com/tools/read-able/)</t>
  </si>
  <si>
    <t>Score of 40.5</t>
  </si>
  <si>
    <t>Colour &amp; Contrast</t>
  </si>
  <si>
    <t>1.4.1</t>
  </si>
  <si>
    <t>Colour is not the sole means of conveying information</t>
  </si>
  <si>
    <t>Designer</t>
  </si>
  <si>
    <t>1.4.3</t>
  </si>
  <si>
    <t>Text contrast meets minimum 4.5:1 (3:1 for large text)</t>
  </si>
  <si>
    <t>1.4.11</t>
  </si>
  <si>
    <t>Non-text UI components and focus styles meet 3:1 contrast ratio</t>
  </si>
  <si>
    <t>Motion &amp; Timing</t>
  </si>
  <si>
    <t>1.4.2</t>
  </si>
  <si>
    <t>Audio does not play automatically</t>
  </si>
  <si>
    <t>No autoplay videos</t>
  </si>
  <si>
    <t>2.2.1</t>
  </si>
  <si>
    <t>Session timeouts can be extended or turned off</t>
  </si>
  <si>
    <t>No time sensitive functionality</t>
  </si>
  <si>
    <t>2.2.2</t>
  </si>
  <si>
    <t>Moving, blinking or auto-updating content can be paused, stopped or hidden</t>
  </si>
  <si>
    <t>No carousels or moving content</t>
  </si>
  <si>
    <t>2.3.1</t>
  </si>
  <si>
    <t>Content does not flash more than 3 times per second</t>
  </si>
  <si>
    <t>Navigation &amp; Focus</t>
  </si>
  <si>
    <t>2.4.1</t>
  </si>
  <si>
    <t>Skip navigation mechanism provided to reach main content</t>
  </si>
  <si>
    <t>2.4.3</t>
  </si>
  <si>
    <t>Focus order is logical, intuitive and matches visual layout</t>
  </si>
  <si>
    <t>2.4.5</t>
  </si>
  <si>
    <t>Multiple ways to locate a page are available (search, sitemap, nav)</t>
  </si>
  <si>
    <t>Search and nav</t>
  </si>
  <si>
    <t>2.4.7</t>
  </si>
  <si>
    <t>Keyboard focus location is visually obvious at all times</t>
  </si>
  <si>
    <t>Keyboard focus not visible on video player (client story pages), webinar filter, multiple column fields on donate form, radio buttons on sign up form/webinar forms</t>
  </si>
  <si>
    <t>2.4.11</t>
  </si>
  <si>
    <t>Focused component is not hidden or obscured by other content</t>
  </si>
  <si>
    <t>Focus indicator is not visible on elements within a dropdown that is not expanded (guide pages)
Focus indicator slightly obscured on homepage support dropdown</t>
  </si>
  <si>
    <t>2.4.13</t>
  </si>
  <si>
    <t>Focus indicator has sufficient thickness and colour contrast</t>
  </si>
  <si>
    <t>Dev / Designer</t>
  </si>
  <si>
    <t>Focus indicator is 1px, should be minimum 2px. Blue focus indicator does not meet colour contrast against purple, but extra white outline appears on this background.</t>
  </si>
  <si>
    <t>Touch &amp; Input</t>
  </si>
  <si>
    <t>2.5.1</t>
  </si>
  <si>
    <t>All functionality works without touch-only gestures; alternatives provided</t>
  </si>
  <si>
    <t>2.5.5</t>
  </si>
  <si>
    <t>Touch targets are at least 44×44px</t>
  </si>
  <si>
    <t>Carousel buttons, social footer icons 40x40px, buttons 42px tall</t>
  </si>
  <si>
    <t>2.5.7</t>
  </si>
  <si>
    <t>Dragging interactions have a single-pointer alternative</t>
  </si>
  <si>
    <t>2.5.8</t>
  </si>
  <si>
    <t>Interactive components meet minimum target size requirements (24px × 24px)</t>
  </si>
  <si>
    <t>Designer / Dev</t>
  </si>
  <si>
    <t>Consistency &amp; Forms</t>
  </si>
  <si>
    <t>3.2.1</t>
  </si>
  <si>
    <t>Focus landing on an element does not trigger a context change</t>
  </si>
  <si>
    <t>3.2.3</t>
  </si>
  <si>
    <t>Navigation is consistent across pages in order and labelling</t>
  </si>
  <si>
    <t>Designer / Content</t>
  </si>
  <si>
    <t>3.3.4</t>
  </si>
  <si>
    <t>Legal or financial actions can be reversed, reviewed or confirmed</t>
  </si>
  <si>
    <t>Financial actions on third party site (Stripe) not tested. No financial/legal actions on BWC site.</t>
  </si>
  <si>
    <t>3.3.7</t>
  </si>
  <si>
    <t>Users are not required to re-enter information already provided</t>
  </si>
  <si>
    <t>3.3.8</t>
  </si>
  <si>
    <t>Authentication does not require a cognitive function test</t>
  </si>
  <si>
    <t>Semantics &amp; Structure</t>
  </si>
  <si>
    <t>1.3.1</t>
  </si>
  <si>
    <t>Font icons are not used; SVG or image icons with alt text used instead</t>
  </si>
  <si>
    <t>Developer</t>
  </si>
  <si>
    <t>Form code is semantically correct (labels, fieldsets, legends)</t>
  </si>
  <si>
    <t xml:space="preserve">Forms created by pixelfridge include correct labels and legends. </t>
  </si>
  <si>
    <t>HTML structure uses correct landmarks, headings, lists, and data tables</t>
  </si>
  <si>
    <t>The "How can we support you?" interactive form area and the newsletter sign-up container lack clear sectioning landmarks (like an &lt;aside&gt; or a &lt;section&gt; tag paired with an aria-labelledby). Wrapping these distinct sections in programmatic landmarks would make page scanning much smoother for screen reader users.</t>
  </si>
  <si>
    <t>Inline CSS is not used for visual-only styles that carry meaning</t>
  </si>
  <si>
    <t>Where graphical elements or color are used alone to convey information, accompanying screen reader text or clear labels are provided.</t>
  </si>
  <si>
    <t>1.3.2</t>
  </si>
  <si>
    <t>Content order in the DOM is logical and mirrors the visual sequence</t>
  </si>
  <si>
    <t>JS is not used to manipulate the DOM, order reflects visual sequence</t>
  </si>
  <si>
    <t>1.3.5</t>
  </si>
  <si>
    <t>Autocomplete attributes applied correctly to relevant input fields</t>
  </si>
  <si>
    <t>Autocomplete present on some but not all fields (varies by form). Those present are correct</t>
  </si>
  <si>
    <t>Text &amp; Zoom</t>
  </si>
  <si>
    <t>1.4.4</t>
  </si>
  <si>
    <t>Text can be resized to 200% without loss of content or functionality</t>
  </si>
  <si>
    <t>1.4.10</t>
  </si>
  <si>
    <t>Content reflows at 400% zoom without horizontal scrolling or loss</t>
  </si>
  <si>
    <t>1.4.13</t>
  </si>
  <si>
    <t>Popovers on hover/focus can be dismissed via keyboard without moving focus</t>
  </si>
  <si>
    <t>Popover is dimissed with tab not esc. Cannot tab through elements within the popover as tab triggers it to close</t>
  </si>
  <si>
    <t>Keyboard &amp; Interaction</t>
  </si>
  <si>
    <t>2.1.1</t>
  </si>
  <si>
    <t>All functionality is operable using the keyboard alone</t>
  </si>
  <si>
    <t>Cannot tab elements within nav popover</t>
  </si>
  <si>
    <t>2.1.2</t>
  </si>
  <si>
    <t>Keyboard focus is never trapped (except intentional modal dialogs)</t>
  </si>
  <si>
    <t>2.3.3</t>
  </si>
  <si>
    <t>Animations respect the prefers-reduced-motion OS/browser setting</t>
  </si>
  <si>
    <t>Animations with substantial movement should be disabled on interaction. Examples include the circular icons on the homepage and the slideup animation associated with the menu on desktop.</t>
  </si>
  <si>
    <t>2.5.2</t>
  </si>
  <si>
    <t>Actions are triggered on pointer up (not down) unless cancellable</t>
  </si>
  <si>
    <t>2.5.3</t>
  </si>
  <si>
    <t>Visible labels are included in the accessible name of controls</t>
  </si>
  <si>
    <t>No context changes triggered by element receiving focus</t>
  </si>
  <si>
    <t>ARIA &amp; Validation</t>
  </si>
  <si>
    <t>4.1.1</t>
  </si>
  <si>
    <t>HTML validates with no parsing errors that affect accessibility</t>
  </si>
  <si>
    <r>
      <rPr>
        <rFont val="Montserrat"/>
        <color rgb="FF1A1A2E"/>
        <sz val="9.0"/>
      </rPr>
      <t xml:space="preserve">Donation form fails validation on multiple empty heading tags and autocomplete tags being added to hidden elements. </t>
    </r>
    <r>
      <rPr>
        <rFont val="Montserrat"/>
        <color rgb="FF1155CC"/>
        <sz val="9.0"/>
        <u/>
      </rPr>
      <t>Report</t>
    </r>
    <r>
      <rPr>
        <rFont val="Montserrat"/>
        <color rgb="FF1A1A2E"/>
        <sz val="9.0"/>
      </rPr>
      <t>.</t>
    </r>
  </si>
  <si>
    <t>4.1.2</t>
  </si>
  <si>
    <t>All UI components have correct name, role and value exposed to AT</t>
  </si>
  <si>
    <t>All buttons have clear, descriptive labels. For buttons without visible text labels, title attributes and aria-label attributes have been provided to ensure accessibility.</t>
  </si>
  <si>
    <t>Custom controls use WAI-ARIA correctly and are fully keyboard operable</t>
  </si>
  <si>
    <t>4.1.3</t>
  </si>
  <si>
    <t>Status messages (e.g. alerts, toasts) are announced by screen readers</t>
  </si>
  <si>
    <t>Error message on donate form announced as "undefined" after failed form submission</t>
  </si>
  <si>
    <t>Best Practice</t>
  </si>
  <si>
    <t>—</t>
  </si>
  <si>
    <t>Windows High Contrast Mode does not break the interface</t>
  </si>
  <si>
    <t>Testing in high contrast and website is full usable without any issues.</t>
  </si>
  <si>
    <t>HTML lang attribute set on root element and language changes inline</t>
  </si>
  <si>
    <t>Section 4 — QA: Keyboard</t>
  </si>
  <si>
    <t>Keyboard Navigation</t>
  </si>
  <si>
    <t>Tab through all interactive elements — nothing is skipped</t>
  </si>
  <si>
    <t>QA / Developer</t>
  </si>
  <si>
    <t>Sub navigation on desktop is difficult to tab through, list items are missed.</t>
  </si>
  <si>
    <t>All buttons, links, and controls can be activated with Enter or Space</t>
  </si>
  <si>
    <t>Video play button does not activate</t>
  </si>
  <si>
    <t>Focus never becomes trapped outside of intentional modal dialogs</t>
  </si>
  <si>
    <t>Focus order follows the logical visual reading sequence</t>
  </si>
  <si>
    <t>Focus indicator is always visible (check all states: default, hover, active)</t>
  </si>
  <si>
    <t>QA / Designer</t>
  </si>
  <si>
    <t>Focused element is not obscured by sticky headers, banners or overlays</t>
  </si>
  <si>
    <t>Content on hover/focus (tooltips, dropdowns) can be dismissed with Esc</t>
  </si>
  <si>
    <t>Skip to main content link appears on first Tab keypress</t>
  </si>
  <si>
    <t>Modal dialogs trap focus correctly and return focus on close</t>
  </si>
  <si>
    <t>Nav popover doesn't trap focus, cannot tab through elements within the popover as tab triggers it to close and tab onto next nav item</t>
  </si>
  <si>
    <t>Custom components (carousels, accordions) follow ARIA design patterns</t>
  </si>
  <si>
    <t>Accordions have clear aria-labels including open &amp; close labels</t>
  </si>
  <si>
    <t>Section 5 — QA: Forms &amp; Input</t>
  </si>
  <si>
    <t>Form Labels &amp; Errors</t>
  </si>
  <si>
    <t>All form fields have a visible, persistent label (not placeholder-only)</t>
  </si>
  <si>
    <t>QA / Content</t>
  </si>
  <si>
    <t>Errors are clearly identified and described in text next to / above the field</t>
  </si>
  <si>
    <t>Error suggestions tell users exactly how to correct invalid input</t>
  </si>
  <si>
    <t>Confirmation step provided before submitting financial or legal actions</t>
  </si>
  <si>
    <t>Third party site (stripe) used for financial actions, not tested</t>
  </si>
  <si>
    <t>User is not asked to re-enter data already provided in the same session</t>
  </si>
  <si>
    <t>Login / authentication does not require solving a cognitive test (e.g. CAPTCHA)</t>
  </si>
  <si>
    <t>Autocomplete attributes on name, email, address and phone fields are correct</t>
  </si>
  <si>
    <t>Required fields are marked programmatically (aria-required or required attr)</t>
  </si>
  <si>
    <t>Related fields are grouped with fieldset and legend elements</t>
  </si>
  <si>
    <t>Error summary provided at top of page on submission failure</t>
  </si>
  <si>
    <t>Summary on Donate form and browser error message on Get help form. Hubspot forms (webinars) do not show summary.</t>
  </si>
  <si>
    <t>Success confirmation is announced to screen readers via ARIA live region</t>
  </si>
  <si>
    <t>Third party forms do not make use or ARIA live regions</t>
  </si>
  <si>
    <t>Section 6 — QA: Colour &amp; Contrast</t>
  </si>
  <si>
    <t>Contrast Ratios</t>
  </si>
  <si>
    <t>Normal text (below 18pt / 14pt bold): contrast ratio ≥ 4.5:1</t>
  </si>
  <si>
    <t>Designer / QA</t>
  </si>
  <si>
    <t>Large text (18pt+ / 14pt+ bold): contrast ratio ≥ 3:1</t>
  </si>
  <si>
    <t>UI components (buttons, inputs, icons) have ≥ 3:1 contrast against background</t>
  </si>
  <si>
    <t>Focus indicators have ≥ 3:1 contrast against adjacent colours</t>
  </si>
  <si>
    <t>Blue focus indicator does not meet colour contrast against purple, but extra white outline appears on this background.</t>
  </si>
  <si>
    <t>Information is not conveyed by colour alone (e.g. red = error)</t>
  </si>
  <si>
    <t>Section 7 — QA: Screen Reader</t>
  </si>
  <si>
    <t>Screen Reader Checks</t>
  </si>
  <si>
    <t>All meaningful images have descriptive alt text; decorative images have alt=""</t>
  </si>
  <si>
    <t>Page structure (landmarks, headings, lists) is announced correctly</t>
  </si>
  <si>
    <t>2.4.2</t>
  </si>
  <si>
    <t>Page title is unique, descriptive and announced on page load</t>
  </si>
  <si>
    <t>All links and buttons have descriptive accessible names (not 'click here')</t>
  </si>
  <si>
    <t>Screen reader announces content in the correct human language</t>
  </si>
  <si>
    <t>Inline language changes are announced correctly by the screen reader</t>
  </si>
  <si>
    <t>Custom controls expose correct role, name and state to screen readers</t>
  </si>
  <si>
    <t>Dynamic content updates (alerts, validation, status) are announced</t>
  </si>
  <si>
    <t>Visible button/link labels match or are included in the accessible name</t>
  </si>
  <si>
    <t>Test with VoiceOver + Safari (iOS/macOS)</t>
  </si>
  <si>
    <t>QA</t>
  </si>
  <si>
    <t>Tested, see note below</t>
  </si>
  <si>
    <t>Reading order announced by screen reader matches visual reading order</t>
  </si>
  <si>
    <t xml:space="preserve">Screen reader can announce everything that's accesible to it - it currently get's stuck within the menu. Tabbing is an acceptable route down the page. </t>
  </si>
  <si>
    <t>Section 8 — QA: Media</t>
  </si>
  <si>
    <t>Audio &amp; Video</t>
  </si>
  <si>
    <t>Podcast / audio-only content has a full transcript available</t>
  </si>
  <si>
    <t>Silent video has a text description of all visual content</t>
  </si>
  <si>
    <t>Pre-recorded video with audio has accurate captions</t>
  </si>
  <si>
    <t>Pre-recorded video has an audio description or full text alternative</t>
  </si>
  <si>
    <t>Client stories videos missing audio description</t>
  </si>
  <si>
    <t>Live video with audio has captions (real-time)</t>
  </si>
  <si>
    <t>Pre-recorded video has a synchronised audio description track</t>
  </si>
  <si>
    <t>Animation &amp; Autoplay</t>
  </si>
  <si>
    <t>No audio or video plays automatically on page load</t>
  </si>
  <si>
    <t>Autoplay content (animations, carousels) can be paused or stopped</t>
  </si>
  <si>
    <t>No content flashes more than 3 times per second</t>
  </si>
  <si>
    <t>Designer / Developer</t>
  </si>
  <si>
    <t>Captions are styled for readability (contrast, size, positioning)</t>
  </si>
  <si>
    <t>Embedded video player is fully keyboard accessible</t>
  </si>
  <si>
    <t>Cannot interact with keyboard</t>
  </si>
  <si>
    <t>Testing Tools &amp; Resources</t>
  </si>
  <si>
    <t>The resources below provide a range of tools to help test against multiple success criteria within the WCAG 2.2 accessibility guidelines. While these tools can assist in identifying issues and validating compliance, it’s important to note that many criteria require manual testing to ensure a fully accessible and inclusive experience.</t>
  </si>
  <si>
    <t>Tool</t>
  </si>
  <si>
    <t>Test / Use</t>
  </si>
  <si>
    <t>Image alt checker</t>
  </si>
  <si>
    <t>Alt text available on images</t>
  </si>
  <si>
    <t>Tool for testing that alt text is present on all images, the test is run on a per page basis</t>
  </si>
  <si>
    <t>Readability Test</t>
  </si>
  <si>
    <t xml:space="preserve">Content is written at an appropriate reading level </t>
  </si>
  <si>
    <t>Web service that grades content on a scale of 0 - 100. Ideally a pass rate should be 60+</t>
  </si>
  <si>
    <t>Colour contrast checker</t>
  </si>
  <si>
    <t xml:space="preserve">Background and foreground colour contast checker </t>
  </si>
  <si>
    <t>Web service that allows for background and foregound colours to be graded against A,AA &amp; AAA requirements. Text sizing and weight can also be compared.</t>
  </si>
  <si>
    <t>HTML validator</t>
  </si>
  <si>
    <t>Valadate HTML structure</t>
  </si>
  <si>
    <t>W3C validator, must be run a per page basis</t>
  </si>
  <si>
    <t>Voiceover</t>
  </si>
  <si>
    <t>Apple default screen reader</t>
  </si>
  <si>
    <t>Default screen reader which can be used to test voice over compatability</t>
  </si>
  <si>
    <t>Arc browser testing suite</t>
  </si>
  <si>
    <t xml:space="preserve">Full page test </t>
  </si>
  <si>
    <t>Great for testing structure and best practices in the browser directly. This tool will also flag any minor issues such as missing labels or alt text.</t>
  </si>
  <si>
    <t>Wave page tester</t>
  </si>
  <si>
    <t>Tool which will highlight contrast, labels and alt text. Very useful for checking heading structure.</t>
  </si>
</sst>
</file>

<file path=xl/styles.xml><?xml version="1.0" encoding="utf-8"?>
<styleSheet xmlns="http://schemas.openxmlformats.org/spreadsheetml/2006/main" xmlns:x14ac="http://schemas.microsoft.com/office/spreadsheetml/2009/9/ac" xmlns:mc="http://schemas.openxmlformats.org/markup-compatibility/2006">
  <numFmts count="1">
    <numFmt numFmtId="164" formatCode="dd/mm/yyyy"/>
  </numFmts>
  <fonts count="36">
    <font>
      <sz val="11.0"/>
      <color theme="1"/>
      <name val="Calibri"/>
      <scheme val="minor"/>
    </font>
    <font>
      <b/>
      <sz val="22.0"/>
      <color rgb="FFF7F7F0"/>
      <name val="Montserrat"/>
    </font>
    <font/>
    <font>
      <sz val="11.0"/>
      <color theme="1"/>
      <name val="Montserrat"/>
    </font>
    <font>
      <i/>
      <sz val="10.0"/>
      <color rgb="FFF7F7F0"/>
      <name val="Montserrat"/>
    </font>
    <font>
      <b/>
      <sz val="10.0"/>
      <color rgb="FFF7F7F0"/>
      <name val="Montserrat"/>
    </font>
    <font>
      <b/>
      <sz val="10.0"/>
      <color rgb="FF20453C"/>
      <name val="Montserrat"/>
    </font>
    <font>
      <sz val="10.0"/>
      <color rgb="FF1A1A2E"/>
      <name val="Montserrat"/>
    </font>
    <font>
      <u/>
      <sz val="10.0"/>
      <color rgb="FF1A1A2E"/>
      <name val="Montserrat"/>
    </font>
    <font>
      <b/>
      <sz val="10.0"/>
      <color rgb="FFFFFFFF"/>
      <name val="Montserrat"/>
    </font>
    <font>
      <b/>
      <sz val="10.0"/>
      <color rgb="FF1A1A2E"/>
      <name val="Montserrat"/>
    </font>
    <font>
      <sz val="10.0"/>
      <color rgb="FF20453C"/>
      <name val="Montserrat"/>
    </font>
    <font>
      <sz val="10.0"/>
      <color theme="1"/>
      <name val="Montserrat"/>
    </font>
    <font>
      <b/>
      <sz val="11.0"/>
      <color rgb="FFFFFFFF"/>
      <name val="Montserrat"/>
    </font>
    <font>
      <b/>
      <i/>
      <sz val="11.0"/>
      <color rgb="FFFFFFFF"/>
      <name val="Montserrat"/>
    </font>
    <font>
      <b/>
      <sz val="10.0"/>
      <color rgb="FF1E3A5F"/>
      <name val="Montserrat"/>
    </font>
    <font>
      <b/>
      <sz val="10.0"/>
      <color rgb="FF78350F"/>
      <name val="Montserrat"/>
    </font>
    <font>
      <b/>
      <sz val="10.0"/>
      <color rgb="FF3B0764"/>
      <name val="Montserrat"/>
    </font>
    <font>
      <b/>
      <sz val="10.0"/>
      <color rgb="FF1E293B"/>
      <name val="Montserrat"/>
    </font>
    <font>
      <b/>
      <sz val="16.0"/>
      <color rgb="FFFFFFFF"/>
      <name val="Montserrat"/>
    </font>
    <font>
      <b/>
      <sz val="9.0"/>
      <color rgb="FF20453C"/>
      <name val="Montserrat"/>
    </font>
    <font>
      <sz val="9.0"/>
      <color rgb="FF20453C"/>
      <name val="Montserrat"/>
    </font>
    <font>
      <u/>
      <sz val="9.0"/>
      <color rgb="FF20453C"/>
      <name val="Montserrat"/>
    </font>
    <font>
      <i/>
      <sz val="9.0"/>
      <color rgb="FF1E293B"/>
      <name val="Montserrat"/>
    </font>
    <font>
      <sz val="9.0"/>
      <color rgb="FF1A1A2E"/>
      <name val="Montserrat"/>
    </font>
    <font>
      <sz val="9.0"/>
      <color theme="1"/>
      <name val="Montserrat"/>
    </font>
    <font>
      <b/>
      <sz val="14.0"/>
      <color rgb="FFFFFFFF"/>
      <name val="Montserrat"/>
    </font>
    <font>
      <b/>
      <sz val="9.0"/>
      <color rgb="FF1E3A5F"/>
      <name val="Montserrat"/>
    </font>
    <font>
      <b/>
      <sz val="9.0"/>
      <color rgb="FF78350F"/>
      <name val="Montserrat"/>
    </font>
    <font>
      <b/>
      <sz val="9.0"/>
      <color rgb="FF3B0764"/>
      <name val="Montserrat"/>
    </font>
    <font>
      <b/>
      <sz val="14.0"/>
      <color rgb="FFF7F7F0"/>
      <name val="Montserrat"/>
    </font>
    <font>
      <u/>
      <sz val="9.0"/>
      <color rgb="FF1A1A2E"/>
      <name val="Montserrat"/>
    </font>
    <font>
      <b/>
      <sz val="9.0"/>
      <color rgb="FF1E293B"/>
      <name val="Montserrat"/>
    </font>
    <font>
      <color theme="1"/>
      <name val="Montserrat"/>
    </font>
    <font>
      <color rgb="FFFFFFFF"/>
      <name val="Montserrat"/>
    </font>
    <font>
      <u/>
      <color rgb="FF0000FF"/>
      <name val="Montserrat"/>
    </font>
  </fonts>
  <fills count="14">
    <fill>
      <patternFill patternType="none"/>
    </fill>
    <fill>
      <patternFill patternType="lightGray"/>
    </fill>
    <fill>
      <patternFill patternType="solid">
        <fgColor rgb="FF20453C"/>
        <bgColor rgb="FF20453C"/>
      </patternFill>
    </fill>
    <fill>
      <patternFill patternType="solid">
        <fgColor rgb="FFF7F7F0"/>
        <bgColor rgb="FFF7F7F0"/>
      </patternFill>
    </fill>
    <fill>
      <patternFill patternType="solid">
        <fgColor rgb="FFDBEAFE"/>
        <bgColor rgb="FFDBEAFE"/>
      </patternFill>
    </fill>
    <fill>
      <patternFill patternType="solid">
        <fgColor rgb="FFD4E2FD"/>
        <bgColor rgb="FFD4E2FD"/>
      </patternFill>
    </fill>
    <fill>
      <patternFill patternType="solid">
        <fgColor rgb="FFADB5BD"/>
        <bgColor rgb="FFADB5BD"/>
      </patternFill>
    </fill>
    <fill>
      <patternFill patternType="solid">
        <fgColor rgb="FFE9E9D8"/>
        <bgColor rgb="FFE9E9D8"/>
      </patternFill>
    </fill>
    <fill>
      <patternFill patternType="solid">
        <fgColor rgb="FFA1D982"/>
        <bgColor rgb="FFA1D982"/>
      </patternFill>
    </fill>
    <fill>
      <patternFill patternType="solid">
        <fgColor rgb="FFF8AB99"/>
        <bgColor rgb="FFF8AB99"/>
      </patternFill>
    </fill>
    <fill>
      <patternFill patternType="solid">
        <fgColor rgb="FFE9ECEF"/>
        <bgColor rgb="FFE9ECEF"/>
      </patternFill>
    </fill>
    <fill>
      <patternFill patternType="solid">
        <fgColor rgb="FFFEF3C7"/>
        <bgColor rgb="FFFEF3C7"/>
      </patternFill>
    </fill>
    <fill>
      <patternFill patternType="solid">
        <fgColor rgb="FF134E4A"/>
        <bgColor rgb="FF134E4A"/>
      </patternFill>
    </fill>
    <fill>
      <patternFill patternType="solid">
        <fgColor rgb="FF000000"/>
        <bgColor rgb="FF000000"/>
      </patternFill>
    </fill>
  </fills>
  <borders count="27">
    <border/>
    <border>
      <left/>
      <top/>
    </border>
    <border>
      <top/>
    </border>
    <border>
      <right/>
      <top/>
    </border>
    <border>
      <left/>
    </border>
    <border>
      <right/>
    </border>
    <border>
      <left/>
      <bottom/>
    </border>
    <border>
      <bottom/>
    </border>
    <border>
      <right/>
      <bottom/>
    </border>
    <border>
      <left style="thin">
        <color rgb="FF20453C"/>
      </left>
      <top style="thin">
        <color rgb="FF20453C"/>
      </top>
    </border>
    <border>
      <top style="thin">
        <color rgb="FF20453C"/>
      </top>
    </border>
    <border>
      <right style="thin">
        <color rgb="FF20453C"/>
      </right>
      <top style="thin">
        <color rgb="FF20453C"/>
      </top>
    </border>
    <border>
      <left style="thin">
        <color rgb="FF20453C"/>
      </left>
      <bottom style="thin">
        <color rgb="FF20453C"/>
      </bottom>
    </border>
    <border>
      <bottom style="thin">
        <color rgb="FF20453C"/>
      </bottom>
    </border>
    <border>
      <right style="thin">
        <color rgb="FF20453C"/>
      </right>
      <bottom style="thin">
        <color rgb="FF20453C"/>
      </bottom>
    </border>
    <border>
      <left style="thin">
        <color rgb="FF20453C"/>
      </left>
      <right style="thin">
        <color rgb="FF20453C"/>
      </right>
      <top style="thin">
        <color rgb="FF20453C"/>
      </top>
      <bottom style="thin">
        <color rgb="FF20453C"/>
      </bottom>
    </border>
    <border>
      <left style="thin">
        <color rgb="FF20453C"/>
      </left>
      <top style="thin">
        <color rgb="FF20453C"/>
      </top>
      <bottom style="thin">
        <color rgb="FF20453C"/>
      </bottom>
    </border>
    <border>
      <top style="thin">
        <color rgb="FF20453C"/>
      </top>
      <bottom style="thin">
        <color rgb="FF20453C"/>
      </bottom>
    </border>
    <border>
      <right style="thin">
        <color rgb="FF20453C"/>
      </right>
      <top style="thin">
        <color rgb="FF20453C"/>
      </top>
      <bottom style="thin">
        <color rgb="FF20453C"/>
      </bottom>
    </border>
    <border>
      <left/>
      <right/>
      <top/>
    </border>
    <border>
      <left/>
      <right/>
      <bottom/>
    </border>
    <border>
      <left style="thin">
        <color rgb="FFCCCCCC"/>
      </left>
      <right style="thin">
        <color rgb="FFCCCCCC"/>
      </right>
      <top style="thin">
        <color rgb="FFCCCCCC"/>
      </top>
    </border>
    <border>
      <left style="thin">
        <color rgb="FFCCCCCC"/>
      </left>
      <right style="thin">
        <color rgb="FFCCCCCC"/>
      </right>
    </border>
    <border>
      <left/>
      <top/>
      <bottom/>
    </border>
    <border>
      <top/>
      <bottom/>
    </border>
    <border>
      <right/>
      <top/>
      <bottom/>
    </border>
    <border>
      <left/>
      <right/>
      <top/>
      <bottom/>
    </border>
  </borders>
  <cellStyleXfs count="1">
    <xf borderId="0" fillId="0" fontId="0" numFmtId="0" applyAlignment="1" applyFont="1"/>
  </cellStyleXfs>
  <cellXfs count="89">
    <xf borderId="0" fillId="0" fontId="0" numFmtId="0" xfId="0" applyAlignment="1" applyFont="1">
      <alignment readingOrder="0" shrinkToFit="0" vertical="bottom" wrapText="0"/>
    </xf>
    <xf borderId="1" fillId="2" fontId="1" numFmtId="0" xfId="0" applyAlignment="1" applyBorder="1" applyFill="1" applyFont="1">
      <alignment horizontal="left" vertical="center"/>
    </xf>
    <xf borderId="2" fillId="0" fontId="2" numFmtId="0" xfId="0" applyBorder="1" applyFont="1"/>
    <xf borderId="3" fillId="0" fontId="2" numFmtId="0" xfId="0" applyBorder="1" applyFont="1"/>
    <xf borderId="4" fillId="0" fontId="2" numFmtId="0" xfId="0" applyBorder="1" applyFont="1"/>
    <xf borderId="5" fillId="0" fontId="2" numFmtId="0" xfId="0" applyBorder="1" applyFont="1"/>
    <xf borderId="6" fillId="0" fontId="2" numFmtId="0" xfId="0" applyBorder="1" applyFont="1"/>
    <xf borderId="7" fillId="0" fontId="2" numFmtId="0" xfId="0" applyBorder="1" applyFont="1"/>
    <xf borderId="8" fillId="0" fontId="2" numFmtId="0" xfId="0" applyBorder="1" applyFont="1"/>
    <xf borderId="0" fillId="0" fontId="3" numFmtId="0" xfId="0" applyFont="1"/>
    <xf borderId="9" fillId="2" fontId="4" numFmtId="0" xfId="0" applyAlignment="1" applyBorder="1" applyFont="1">
      <alignment horizontal="left" shrinkToFit="0" vertical="center" wrapText="1"/>
    </xf>
    <xf borderId="10" fillId="0" fontId="2" numFmtId="0" xfId="0" applyBorder="1" applyFont="1"/>
    <xf borderId="11" fillId="0" fontId="2" numFmtId="0" xfId="0" applyBorder="1" applyFont="1"/>
    <xf borderId="0" fillId="3" fontId="5" numFmtId="0" xfId="0" applyAlignment="1" applyFill="1" applyFont="1">
      <alignment horizontal="left" shrinkToFit="0" vertical="center" wrapText="1"/>
    </xf>
    <xf borderId="12" fillId="2" fontId="5" numFmtId="0" xfId="0" applyAlignment="1" applyBorder="1" applyFont="1">
      <alignment horizontal="left" readingOrder="0" shrinkToFit="0" vertical="center" wrapText="1"/>
    </xf>
    <xf borderId="13" fillId="0" fontId="2" numFmtId="0" xfId="0" applyBorder="1" applyFont="1"/>
    <xf borderId="14" fillId="0" fontId="2" numFmtId="0" xfId="0" applyBorder="1" applyFont="1"/>
    <xf borderId="15" fillId="4" fontId="6" numFmtId="0" xfId="0" applyAlignment="1" applyBorder="1" applyFill="1" applyFont="1">
      <alignment horizontal="left" shrinkToFit="0" vertical="center" wrapText="1"/>
    </xf>
    <xf borderId="16" fillId="3" fontId="7" numFmtId="0" xfId="0" applyAlignment="1" applyBorder="1" applyFont="1">
      <alignment horizontal="left" readingOrder="0" shrinkToFit="0" vertical="center" wrapText="1"/>
    </xf>
    <xf borderId="17" fillId="0" fontId="2" numFmtId="0" xfId="0" applyBorder="1" applyFont="1"/>
    <xf borderId="18" fillId="0" fontId="2" numFmtId="0" xfId="0" applyBorder="1" applyFont="1"/>
    <xf borderId="16" fillId="3" fontId="8" numFmtId="0" xfId="0" applyAlignment="1" applyBorder="1" applyFont="1">
      <alignment horizontal="left" readingOrder="0" shrinkToFit="0" vertical="center" wrapText="1"/>
    </xf>
    <xf borderId="16" fillId="3" fontId="7" numFmtId="164" xfId="0" applyAlignment="1" applyBorder="1" applyFont="1" applyNumberFormat="1">
      <alignment horizontal="left" readingOrder="0" shrinkToFit="0" vertical="center" wrapText="1"/>
    </xf>
    <xf borderId="19" fillId="2" fontId="9" numFmtId="0" xfId="0" applyAlignment="1" applyBorder="1" applyFont="1">
      <alignment horizontal="center" shrinkToFit="0" vertical="center" wrapText="1"/>
    </xf>
    <xf borderId="15" fillId="5" fontId="10" numFmtId="0" xfId="0" applyAlignment="1" applyBorder="1" applyFill="1" applyFont="1">
      <alignment horizontal="left" shrinkToFit="0" vertical="center" wrapText="1"/>
    </xf>
    <xf borderId="15" fillId="3" fontId="11" numFmtId="0" xfId="0" applyAlignment="1" applyBorder="1" applyFont="1">
      <alignment horizontal="center" shrinkToFit="0" vertical="center" wrapText="1"/>
    </xf>
    <xf borderId="15" fillId="5" fontId="10" numFmtId="0" xfId="0" applyAlignment="1" applyBorder="1" applyFont="1">
      <alignment horizontal="left" vertical="center"/>
    </xf>
    <xf borderId="15" fillId="3" fontId="11" numFmtId="0" xfId="0" applyAlignment="1" applyBorder="1" applyFont="1">
      <alignment horizontal="center" vertical="center"/>
    </xf>
    <xf borderId="20" fillId="2" fontId="9" numFmtId="0" xfId="0" applyAlignment="1" applyBorder="1" applyFont="1">
      <alignment horizontal="center" shrinkToFit="0" vertical="center" wrapText="1"/>
    </xf>
    <xf borderId="20" fillId="2" fontId="9" numFmtId="0" xfId="0" applyAlignment="1" applyBorder="1" applyFont="1">
      <alignment horizontal="center" vertical="center"/>
    </xf>
    <xf borderId="0" fillId="3" fontId="12" numFmtId="0" xfId="0" applyFont="1"/>
    <xf borderId="0" fillId="2" fontId="13" numFmtId="0" xfId="0" applyAlignment="1" applyFont="1">
      <alignment horizontal="left" readingOrder="0" shrinkToFit="0" vertical="center" wrapText="1"/>
    </xf>
    <xf borderId="21" fillId="2" fontId="9" numFmtId="0" xfId="0" applyAlignment="1" applyBorder="1" applyFont="1">
      <alignment horizontal="center" shrinkToFit="0" vertical="center" wrapText="1"/>
    </xf>
    <xf borderId="15" fillId="5" fontId="6" numFmtId="0" xfId="0" applyAlignment="1" applyBorder="1" applyFont="1">
      <alignment horizontal="center" vertical="center"/>
    </xf>
    <xf borderId="15" fillId="3" fontId="7" numFmtId="0" xfId="0" applyAlignment="1" applyBorder="1" applyFont="1">
      <alignment horizontal="center" vertical="center"/>
    </xf>
    <xf borderId="15" fillId="6" fontId="6" numFmtId="0" xfId="0" applyAlignment="1" applyBorder="1" applyFill="1" applyFont="1">
      <alignment horizontal="center" vertical="center"/>
    </xf>
    <xf borderId="0" fillId="2" fontId="14" numFmtId="0" xfId="0" applyAlignment="1" applyFont="1">
      <alignment horizontal="left" shrinkToFit="0" vertical="center" wrapText="1"/>
    </xf>
    <xf borderId="0" fillId="3" fontId="12" numFmtId="0" xfId="0" applyAlignment="1" applyFont="1">
      <alignment horizontal="left" shrinkToFit="0" vertical="center" wrapText="1"/>
    </xf>
    <xf borderId="0" fillId="3" fontId="3" numFmtId="0" xfId="0" applyFont="1"/>
    <xf borderId="15" fillId="5" fontId="15" numFmtId="0" xfId="0" applyAlignment="1" applyBorder="1" applyFont="1">
      <alignment horizontal="center" shrinkToFit="0" vertical="center" wrapText="1"/>
    </xf>
    <xf borderId="16" fillId="7" fontId="7" numFmtId="0" xfId="0" applyAlignment="1" applyBorder="1" applyFill="1" applyFont="1">
      <alignment horizontal="left" readingOrder="0" shrinkToFit="0" vertical="center" wrapText="1"/>
    </xf>
    <xf borderId="15" fillId="5" fontId="16" numFmtId="0" xfId="0" applyAlignment="1" applyBorder="1" applyFont="1">
      <alignment horizontal="center" shrinkToFit="0" vertical="center" wrapText="1"/>
    </xf>
    <xf borderId="15" fillId="5" fontId="17" numFmtId="0" xfId="0" applyAlignment="1" applyBorder="1" applyFont="1">
      <alignment horizontal="center" shrinkToFit="0" vertical="center" wrapText="1"/>
    </xf>
    <xf borderId="15" fillId="5" fontId="18" numFmtId="0" xfId="0" applyAlignment="1" applyBorder="1" applyFont="1">
      <alignment horizontal="center" shrinkToFit="0" vertical="center" wrapText="1"/>
    </xf>
    <xf borderId="15" fillId="8" fontId="11" numFmtId="0" xfId="0" applyAlignment="1" applyBorder="1" applyFill="1" applyFont="1">
      <alignment horizontal="center" shrinkToFit="0" vertical="center" wrapText="1"/>
    </xf>
    <xf borderId="16" fillId="7" fontId="7" numFmtId="0" xfId="0" applyAlignment="1" applyBorder="1" applyFont="1">
      <alignment horizontal="left" shrinkToFit="0" vertical="center" wrapText="1"/>
    </xf>
    <xf borderId="15" fillId="9" fontId="11" numFmtId="0" xfId="0" applyAlignment="1" applyBorder="1" applyFill="1" applyFont="1">
      <alignment horizontal="center" shrinkToFit="0" vertical="center" wrapText="1"/>
    </xf>
    <xf borderId="15" fillId="10" fontId="11" numFmtId="0" xfId="0" applyAlignment="1" applyBorder="1" applyFill="1" applyFont="1">
      <alignment horizontal="center" shrinkToFit="0" vertical="center" wrapText="1"/>
    </xf>
    <xf borderId="15" fillId="11" fontId="11" numFmtId="0" xfId="0" applyAlignment="1" applyBorder="1" applyFill="1" applyFont="1">
      <alignment horizontal="center" shrinkToFit="0" vertical="center" wrapText="1"/>
    </xf>
    <xf borderId="0" fillId="2" fontId="19" numFmtId="0" xfId="0" applyAlignment="1" applyFont="1">
      <alignment horizontal="left" vertical="center"/>
    </xf>
    <xf borderId="15" fillId="5" fontId="20" numFmtId="0" xfId="0" applyAlignment="1" applyBorder="1" applyFont="1">
      <alignment horizontal="left" vertical="center"/>
    </xf>
    <xf borderId="16" fillId="3" fontId="21" numFmtId="0" xfId="0" applyAlignment="1" applyBorder="1" applyFont="1">
      <alignment horizontal="left" vertical="center"/>
    </xf>
    <xf borderId="16" fillId="3" fontId="22" numFmtId="0" xfId="0" applyAlignment="1" applyBorder="1" applyFont="1">
      <alignment horizontal="left" vertical="center"/>
    </xf>
    <xf borderId="16" fillId="3" fontId="21" numFmtId="164" xfId="0" applyAlignment="1" applyBorder="1" applyFont="1" applyNumberFormat="1">
      <alignment horizontal="left" vertical="center"/>
    </xf>
    <xf borderId="16" fillId="5" fontId="23" numFmtId="0" xfId="0" applyAlignment="1" applyBorder="1" applyFont="1">
      <alignment horizontal="left" vertical="center"/>
    </xf>
    <xf borderId="22" fillId="5" fontId="6" numFmtId="0" xfId="0" applyAlignment="1" applyBorder="1" applyFont="1">
      <alignment horizontal="center" shrinkToFit="0" vertical="center" wrapText="1"/>
    </xf>
    <xf borderId="15" fillId="3" fontId="24" numFmtId="0" xfId="0" applyAlignment="1" applyBorder="1" applyFont="1">
      <alignment horizontal="left" shrinkToFit="0" vertical="center" wrapText="1"/>
    </xf>
    <xf borderId="15" fillId="3" fontId="25" numFmtId="0" xfId="0" applyAlignment="1" applyBorder="1" applyFont="1">
      <alignment horizontal="left" vertical="center"/>
    </xf>
    <xf borderId="15" fillId="3" fontId="25" numFmtId="0" xfId="0" applyAlignment="1" applyBorder="1" applyFont="1">
      <alignment horizontal="left" shrinkToFit="0" vertical="center" wrapText="1"/>
    </xf>
    <xf borderId="15" fillId="3" fontId="3" numFmtId="0" xfId="0" applyAlignment="1" applyBorder="1" applyFont="1">
      <alignment horizontal="left" vertical="center"/>
    </xf>
    <xf borderId="23" fillId="2" fontId="26" numFmtId="0" xfId="0" applyAlignment="1" applyBorder="1" applyFont="1">
      <alignment horizontal="left" shrinkToFit="0" vertical="center" wrapText="1"/>
    </xf>
    <xf borderId="24" fillId="0" fontId="2" numFmtId="0" xfId="0" applyBorder="1" applyFont="1"/>
    <xf borderId="25" fillId="0" fontId="2" numFmtId="0" xfId="0" applyBorder="1" applyFont="1"/>
    <xf borderId="26" fillId="2" fontId="9" numFmtId="0" xfId="0" applyAlignment="1" applyBorder="1" applyFont="1">
      <alignment horizontal="center" shrinkToFit="0" vertical="center" wrapText="1"/>
    </xf>
    <xf borderId="1" fillId="5" fontId="6" numFmtId="0" xfId="0" applyAlignment="1" applyBorder="1" applyFont="1">
      <alignment horizontal="left" shrinkToFit="0" vertical="center" wrapText="1"/>
    </xf>
    <xf borderId="15" fillId="3" fontId="24" numFmtId="0" xfId="0" applyAlignment="1" applyBorder="1" applyFont="1">
      <alignment horizontal="center" shrinkToFit="0" vertical="center" wrapText="1"/>
    </xf>
    <xf borderId="15" fillId="3" fontId="27" numFmtId="0" xfId="0" applyAlignment="1" applyBorder="1" applyFont="1">
      <alignment horizontal="center" shrinkToFit="0" vertical="center" wrapText="1"/>
    </xf>
    <xf borderId="15" fillId="3" fontId="24" numFmtId="0" xfId="0" applyAlignment="1" applyBorder="1" applyFont="1">
      <alignment horizontal="left" readingOrder="0" shrinkToFit="0" vertical="center" wrapText="1"/>
    </xf>
    <xf borderId="15" fillId="3" fontId="28" numFmtId="0" xfId="0" applyAlignment="1" applyBorder="1" applyFont="1">
      <alignment horizontal="center" shrinkToFit="0" vertical="center" wrapText="1"/>
    </xf>
    <xf borderId="16" fillId="5" fontId="6" numFmtId="0" xfId="0" applyAlignment="1" applyBorder="1" applyFont="1">
      <alignment horizontal="left" shrinkToFit="0" vertical="center" wrapText="1"/>
    </xf>
    <xf borderId="15" fillId="3" fontId="29" numFmtId="0" xfId="0" applyAlignment="1" applyBorder="1" applyFont="1">
      <alignment horizontal="center" shrinkToFit="0" vertical="center" wrapText="1"/>
    </xf>
    <xf borderId="16" fillId="12" fontId="30" numFmtId="0" xfId="0" applyAlignment="1" applyBorder="1" applyFill="1" applyFont="1">
      <alignment horizontal="left" shrinkToFit="0" vertical="center" wrapText="1"/>
    </xf>
    <xf borderId="15" fillId="12" fontId="5" numFmtId="0" xfId="0" applyAlignment="1" applyBorder="1" applyFont="1">
      <alignment horizontal="center" shrinkToFit="0" vertical="center" wrapText="1"/>
    </xf>
    <xf borderId="16" fillId="4" fontId="6" numFmtId="0" xfId="0" applyAlignment="1" applyBorder="1" applyFont="1">
      <alignment horizontal="left" shrinkToFit="0" vertical="center" wrapText="1"/>
    </xf>
    <xf borderId="15" fillId="3" fontId="31" numFmtId="0" xfId="0" applyAlignment="1" applyBorder="1" applyFont="1">
      <alignment horizontal="left" readingOrder="0" shrinkToFit="0" vertical="center" wrapText="1"/>
    </xf>
    <xf borderId="15" fillId="3" fontId="32" numFmtId="0" xfId="0" applyAlignment="1" applyBorder="1" applyFont="1">
      <alignment horizontal="center" shrinkToFit="0" vertical="center" wrapText="1"/>
    </xf>
    <xf borderId="23" fillId="2" fontId="30" numFmtId="0" xfId="0" applyAlignment="1" applyBorder="1" applyFont="1">
      <alignment horizontal="left" shrinkToFit="0" vertical="center" wrapText="1"/>
    </xf>
    <xf borderId="26" fillId="2" fontId="5" numFmtId="0" xfId="0" applyAlignment="1" applyBorder="1" applyFont="1">
      <alignment horizontal="center" shrinkToFit="0" vertical="center" wrapText="1"/>
    </xf>
    <xf borderId="1" fillId="4" fontId="6" numFmtId="0" xfId="0" applyAlignment="1" applyBorder="1" applyFont="1">
      <alignment horizontal="left" shrinkToFit="0" vertical="center" wrapText="1"/>
    </xf>
    <xf borderId="4" fillId="4" fontId="6" numFmtId="0" xfId="0" applyAlignment="1" applyBorder="1" applyFont="1">
      <alignment horizontal="left" shrinkToFit="0" vertical="center" wrapText="1"/>
    </xf>
    <xf borderId="16" fillId="2" fontId="30" numFmtId="0" xfId="0" applyAlignment="1" applyBorder="1" applyFont="1">
      <alignment horizontal="left" shrinkToFit="0" vertical="center" wrapText="1"/>
    </xf>
    <xf borderId="15" fillId="2" fontId="5" numFmtId="0" xfId="0" applyAlignment="1" applyBorder="1" applyFont="1">
      <alignment horizontal="center" shrinkToFit="0" vertical="center" wrapText="1"/>
    </xf>
    <xf borderId="16" fillId="2" fontId="30" numFmtId="0" xfId="0" applyAlignment="1" applyBorder="1" applyFont="1">
      <alignment horizontal="left" readingOrder="0" shrinkToFit="0" vertical="center" wrapText="1"/>
    </xf>
    <xf borderId="9" fillId="5" fontId="33" numFmtId="0" xfId="0" applyAlignment="1" applyBorder="1" applyFont="1">
      <alignment readingOrder="0" shrinkToFit="0" vertical="center" wrapText="1"/>
    </xf>
    <xf borderId="12" fillId="0" fontId="2" numFmtId="0" xfId="0" applyBorder="1" applyFont="1"/>
    <xf borderId="15" fillId="13" fontId="34" numFmtId="0" xfId="0" applyAlignment="1" applyBorder="1" applyFill="1" applyFont="1">
      <alignment readingOrder="0"/>
    </xf>
    <xf borderId="15" fillId="7" fontId="35" numFmtId="0" xfId="0" applyAlignment="1" applyBorder="1" applyFont="1">
      <alignment readingOrder="0" vertical="center"/>
    </xf>
    <xf borderId="15" fillId="3" fontId="33" numFmtId="0" xfId="0" applyAlignment="1" applyBorder="1" applyFont="1">
      <alignment readingOrder="0" shrinkToFit="0" vertical="center" wrapText="1"/>
    </xf>
    <xf borderId="15" fillId="3" fontId="33" numFmtId="0" xfId="0" applyAlignment="1" applyBorder="1" applyFont="1">
      <alignment readingOrder="0" vertical="center"/>
    </xf>
  </cellXfs>
  <cellStyles count="1">
    <cellStyle xfId="0" name="Normal" builtinId="0"/>
  </cellStyles>
  <dxfs count="12">
    <dxf>
      <font/>
      <fill>
        <patternFill patternType="solid">
          <fgColor rgb="FFB7E1CD"/>
          <bgColor rgb="FFB7E1CD"/>
        </patternFill>
      </fill>
      <border/>
    </dxf>
    <dxf>
      <font/>
      <fill>
        <patternFill patternType="solid">
          <fgColor rgb="FFF4C7C3"/>
          <bgColor rgb="FFF4C7C3"/>
        </patternFill>
      </fill>
      <border/>
    </dxf>
    <dxf>
      <font/>
      <fill>
        <patternFill patternType="solid">
          <fgColor rgb="FFFCE8B2"/>
          <bgColor rgb="FFFCE8B2"/>
        </patternFill>
      </fill>
      <border/>
    </dxf>
    <dxf>
      <font>
        <color rgb="FF20453C"/>
      </font>
      <fill>
        <patternFill patternType="solid">
          <fgColor rgb="FFE9E9D8"/>
          <bgColor rgb="FFE9E9D8"/>
        </patternFill>
      </fill>
      <border/>
    </dxf>
    <dxf>
      <font>
        <b/>
        <sz val="9.0"/>
        <color rgb="FF721C24"/>
        <name val="Arial"/>
      </font>
      <fill>
        <patternFill patternType="solid">
          <fgColor rgb="FFFADBD8"/>
          <bgColor rgb="FFFADBD8"/>
        </patternFill>
      </fill>
      <border/>
    </dxf>
    <dxf>
      <font>
        <i/>
        <color rgb="FF94A3B8"/>
      </font>
      <fill>
        <patternFill patternType="solid">
          <fgColor rgb="FFF7F7F0"/>
          <bgColor rgb="FFF7F7F0"/>
        </patternFill>
      </fill>
      <border/>
    </dxf>
    <dxf>
      <font>
        <b/>
        <color rgb="FF20453C"/>
      </font>
      <fill>
        <patternFill patternType="solid">
          <fgColor rgb="FFA1D982"/>
          <bgColor rgb="FFA1D982"/>
        </patternFill>
      </fill>
      <border/>
    </dxf>
    <dxf>
      <font>
        <b/>
        <color rgb="FF20453C"/>
      </font>
      <fill>
        <patternFill patternType="solid">
          <fgColor rgb="FFFADBD8"/>
          <bgColor rgb="FFFADBD8"/>
        </patternFill>
      </fill>
      <border/>
    </dxf>
    <dxf>
      <font>
        <b/>
        <color rgb="FF495057"/>
      </font>
      <fill>
        <patternFill patternType="solid">
          <fgColor rgb="FFE9ECEF"/>
          <bgColor rgb="FFE9ECEF"/>
        </patternFill>
      </fill>
      <border/>
    </dxf>
    <dxf>
      <font>
        <b/>
        <color rgb="FF20453C"/>
      </font>
      <fill>
        <patternFill patternType="solid">
          <fgColor rgb="FFE9E9D8"/>
          <bgColor rgb="FFE9E9D8"/>
        </patternFill>
      </fill>
      <border/>
    </dxf>
    <dxf>
      <font>
        <b/>
        <color rgb="FF20453C"/>
      </font>
      <fill>
        <patternFill patternType="solid">
          <fgColor rgb="FFF8AB99"/>
          <bgColor rgb="FFF8AB99"/>
        </patternFill>
      </fill>
      <border/>
    </dxf>
    <dxf>
      <font>
        <b/>
        <color rgb="FF20453C"/>
      </font>
      <fill>
        <patternFill patternType="solid">
          <fgColor rgb="FFF4C7C3"/>
          <bgColor rgb="FFF4C7C3"/>
        </patternFill>
      </fill>
      <border/>
    </dxf>
  </dxfs>
</styleSheet>
</file>

<file path=xl/_rels/workbook.xml.rels><?xml version="1.0" encoding="UTF-8" standalone="yes"?><Relationships xmlns="http://schemas.openxmlformats.org/package/2006/relationships"><Relationship Id="rId11" Type="http://schemas.openxmlformats.org/officeDocument/2006/relationships/worksheet" Target="worksheets/sheet7.xml"/><Relationship Id="rId10" Type="http://schemas.openxmlformats.org/officeDocument/2006/relationships/worksheet" Target="worksheets/sheet6.xml"/><Relationship Id="rId13" Type="http://schemas.openxmlformats.org/officeDocument/2006/relationships/worksheet" Target="worksheets/sheet9.xml"/><Relationship Id="rId12" Type="http://schemas.openxmlformats.org/officeDocument/2006/relationships/worksheet" Target="worksheets/sheet8.xml"/><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9" Type="http://schemas.openxmlformats.org/officeDocument/2006/relationships/worksheet" Target="worksheets/sheet5.xml"/><Relationship Id="rId15" Type="http://schemas.openxmlformats.org/officeDocument/2006/relationships/worksheet" Target="worksheets/sheet11.xml"/><Relationship Id="rId14" Type="http://schemas.openxmlformats.org/officeDocument/2006/relationships/worksheet" Target="worksheets/sheet10.xml"/><Relationship Id="rId5" Type="http://schemas.openxmlformats.org/officeDocument/2006/relationships/worksheet" Target="worksheets/sheet1.xml"/><Relationship Id="rId6" Type="http://schemas.openxmlformats.org/officeDocument/2006/relationships/worksheet" Target="worksheets/sheet2.xml"/><Relationship Id="rId7" Type="http://schemas.openxmlformats.org/officeDocument/2006/relationships/worksheet" Target="worksheets/sheet3.xml"/><Relationship Id="rId8" Type="http://schemas.openxmlformats.org/officeDocument/2006/relationships/worksheet" Target="worksheets/sheet4.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8.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9.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0.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0000FF"/>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hyperlink" Target="https://www.bwcharity.org.uk/" TargetMode="External"/><Relationship Id="rId2"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comments" Target="../comments1.xml"/><Relationship Id="rId2" Type="http://schemas.openxmlformats.org/officeDocument/2006/relationships/drawing" Target="../drawings/drawing3.xml"/><Relationship Id="rId3" Type="http://schemas.openxmlformats.org/officeDocument/2006/relationships/vmlDrawing" Target="../drawings/vmlDrawing1.vml"/></Relationships>
</file>

<file path=xl/worksheets/_rels/sheet4.xml.rels><?xml version="1.0" encoding="UTF-8" standalone="yes"?><Relationships xmlns="http://schemas.openxmlformats.org/package/2006/relationships"><Relationship Id="rId1" Type="http://schemas.openxmlformats.org/officeDocument/2006/relationships/comments" Target="../comments2.xml"/><Relationship Id="rId2" Type="http://schemas.openxmlformats.org/officeDocument/2006/relationships/drawing" Target="../drawings/drawing4.xml"/><Relationship Id="rId3" Type="http://schemas.openxmlformats.org/officeDocument/2006/relationships/vmlDrawing" Target="../drawings/vmlDrawing2.vml"/></Relationships>
</file>

<file path=xl/worksheets/_rels/sheet5.xml.rels><?xml version="1.0" encoding="UTF-8" standalone="yes"?><Relationships xmlns="http://schemas.openxmlformats.org/package/2006/relationships"><Relationship Id="rId1" Type="http://schemas.openxmlformats.org/officeDocument/2006/relationships/comments" Target="../comments3.xml"/><Relationship Id="rId2" Type="http://schemas.openxmlformats.org/officeDocument/2006/relationships/hyperlink" Target="https://validator.w3.org/nu/?level=warning&amp;doc=https%3A%2F%2Fwww.bwcharity.org.uk%2Fdonate%2F%3Fdonation_type%3Dmonthly%26donation_amount%3D5" TargetMode="External"/><Relationship Id="rId3" Type="http://schemas.openxmlformats.org/officeDocument/2006/relationships/drawing" Target="../drawings/drawing5.xml"/><Relationship Id="rId4" Type="http://schemas.openxmlformats.org/officeDocument/2006/relationships/vmlDrawing" Target="../drawings/vmlDrawing3.vml"/></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6.xml"/></Relationships>
</file>

<file path=xl/worksheets/_rels/sheet7.xml.rels><?xml version="1.0" encoding="UTF-8" standalone="yes"?><Relationships xmlns="http://schemas.openxmlformats.org/package/2006/relationships"><Relationship Id="rId1" Type="http://schemas.openxmlformats.org/officeDocument/2006/relationships/drawing" Target="../drawings/drawing7.xml"/></Relationships>
</file>

<file path=xl/worksheets/_rels/sheet8.xml.rels><?xml version="1.0" encoding="UTF-8" standalone="yes"?><Relationships xmlns="http://schemas.openxmlformats.org/package/2006/relationships"><Relationship Id="rId1" Type="http://schemas.openxmlformats.org/officeDocument/2006/relationships/drawing" Target="../drawings/drawing8.xml"/></Relationships>
</file>

<file path=xl/worksheets/_rels/sheet9.xml.rels><?xml version="1.0" encoding="UTF-8" standalone="yes"?><Relationships xmlns="http://schemas.openxmlformats.org/package/2006/relationships"><Relationship Id="rId1" Type="http://schemas.openxmlformats.org/officeDocument/2006/relationships/comments" Target="../comments4.xml"/><Relationship Id="rId2" Type="http://schemas.openxmlformats.org/officeDocument/2006/relationships/drawing" Target="../drawings/drawing9.xml"/><Relationship Id="rId3" Type="http://schemas.openxmlformats.org/officeDocument/2006/relationships/vmlDrawing" Target="../drawings/vmlDrawing4.vml"/></Relationships>
</file>

<file path=xl/worksheets/_rels/sheet10.xml.rels><?xml version="1.0" encoding="UTF-8" standalone="yes"?><Relationships xmlns="http://schemas.openxmlformats.org/package/2006/relationships"><Relationship Id="rId1" Type="http://schemas.openxmlformats.org/officeDocument/2006/relationships/drawing" Target="../drawings/drawing10.xml"/></Relationships>
</file>

<file path=xl/worksheets/_rels/sheet11.xml.rels><?xml version="1.0" encoding="UTF-8" standalone="yes"?><Relationships xmlns="http://schemas.openxmlformats.org/package/2006/relationships"><Relationship Id="rId1" Type="http://schemas.openxmlformats.org/officeDocument/2006/relationships/hyperlink" Target="https://toolsaday.com/seo/image-alt-checker" TargetMode="External"/><Relationship Id="rId2" Type="http://schemas.openxmlformats.org/officeDocument/2006/relationships/hyperlink" Target="https://www.webfx.com/tools/read-able/" TargetMode="External"/><Relationship Id="rId3" Type="http://schemas.openxmlformats.org/officeDocument/2006/relationships/hyperlink" Target="https://webaim.org/resources/contrastchecker/" TargetMode="External"/><Relationship Id="rId4" Type="http://schemas.openxmlformats.org/officeDocument/2006/relationships/hyperlink" Target="https://validator.w3.org/" TargetMode="External"/><Relationship Id="rId5" Type="http://schemas.openxmlformats.org/officeDocument/2006/relationships/hyperlink" Target="https://support.apple.com/en-gb/guide/voiceover/vo2682/mac" TargetMode="External"/><Relationship Id="rId6" Type="http://schemas.openxmlformats.org/officeDocument/2006/relationships/hyperlink" Target="https://chromewebstore.google.com/detail/arc-toolkit/chdkkkccnlfncngelccgbgfmjebmkmce" TargetMode="External"/><Relationship Id="rId7" Type="http://schemas.openxmlformats.org/officeDocument/2006/relationships/hyperlink" Target="https://wave.webaim.org/" TargetMode="External"/><Relationship Id="rId8" Type="http://schemas.openxmlformats.org/officeDocument/2006/relationships/drawing" Target="../drawings/drawing11.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showGridLines="0" workbookViewId="0"/>
  </sheetViews>
  <sheetFormatPr customHeight="1" defaultColWidth="14.43" defaultRowHeight="15.0"/>
  <cols>
    <col customWidth="1" min="1" max="1" width="73.43"/>
    <col customWidth="1" min="2" max="2" width="38.86"/>
    <col customWidth="1" min="3" max="5" width="14.0"/>
    <col customWidth="1" min="6" max="6" width="20.0"/>
  </cols>
  <sheetData>
    <row r="1" ht="27.75" customHeight="1">
      <c r="A1" s="1" t="s">
        <v>0</v>
      </c>
      <c r="B1" s="2"/>
      <c r="C1" s="2"/>
      <c r="D1" s="2"/>
      <c r="E1" s="2"/>
      <c r="F1" s="3"/>
    </row>
    <row r="2" ht="27.75" customHeight="1">
      <c r="A2" s="4"/>
      <c r="F2" s="5"/>
    </row>
    <row r="3" ht="27.75" customHeight="1">
      <c r="A3" s="6"/>
      <c r="B3" s="7"/>
      <c r="C3" s="7"/>
      <c r="D3" s="7"/>
      <c r="E3" s="7"/>
      <c r="F3" s="8"/>
    </row>
    <row r="4" ht="1.5" customHeight="1">
      <c r="A4" s="9"/>
      <c r="B4" s="9"/>
      <c r="C4" s="9"/>
      <c r="D4" s="9"/>
      <c r="E4" s="9"/>
      <c r="F4" s="9"/>
    </row>
    <row r="5" ht="19.5" customHeight="1">
      <c r="A5" s="10" t="s">
        <v>1</v>
      </c>
      <c r="B5" s="11"/>
      <c r="C5" s="11"/>
      <c r="D5" s="11"/>
      <c r="E5" s="11"/>
      <c r="F5" s="12"/>
    </row>
    <row r="6" ht="21.75" customHeight="1">
      <c r="A6" s="13"/>
      <c r="B6" s="13"/>
      <c r="C6" s="13"/>
      <c r="D6" s="13"/>
      <c r="E6" s="13"/>
      <c r="F6" s="13"/>
    </row>
    <row r="7" ht="21.75" customHeight="1">
      <c r="A7" s="14" t="s">
        <v>2</v>
      </c>
      <c r="B7" s="15"/>
      <c r="C7" s="15"/>
      <c r="D7" s="15"/>
      <c r="E7" s="15"/>
      <c r="F7" s="16"/>
    </row>
    <row r="8" ht="21.75" customHeight="1">
      <c r="A8" s="17" t="s">
        <v>3</v>
      </c>
      <c r="B8" s="18" t="s">
        <v>4</v>
      </c>
      <c r="C8" s="19"/>
      <c r="D8" s="19"/>
      <c r="E8" s="19"/>
      <c r="F8" s="20"/>
    </row>
    <row r="9" ht="21.75" customHeight="1">
      <c r="A9" s="17" t="s">
        <v>5</v>
      </c>
      <c r="B9" s="21" t="s">
        <v>6</v>
      </c>
      <c r="C9" s="19"/>
      <c r="D9" s="19"/>
      <c r="E9" s="19"/>
      <c r="F9" s="20"/>
    </row>
    <row r="10" ht="21.75" customHeight="1">
      <c r="A10" s="17" t="s">
        <v>7</v>
      </c>
      <c r="B10" s="22">
        <v>46177.0</v>
      </c>
      <c r="C10" s="19"/>
      <c r="D10" s="19"/>
      <c r="E10" s="19"/>
      <c r="F10" s="20"/>
    </row>
    <row r="11" ht="21.75" customHeight="1">
      <c r="A11" s="17" t="s">
        <v>8</v>
      </c>
      <c r="B11" s="18" t="s">
        <v>9</v>
      </c>
      <c r="C11" s="19"/>
      <c r="D11" s="19"/>
      <c r="E11" s="19"/>
      <c r="F11" s="20"/>
    </row>
    <row r="12" ht="19.5" customHeight="1">
      <c r="A12" s="23" t="s">
        <v>10</v>
      </c>
      <c r="B12" s="23" t="s">
        <v>11</v>
      </c>
      <c r="C12" s="23" t="s">
        <v>12</v>
      </c>
      <c r="D12" s="23" t="s">
        <v>13</v>
      </c>
      <c r="E12" s="23" t="s">
        <v>14</v>
      </c>
      <c r="F12" s="23" t="s">
        <v>15</v>
      </c>
    </row>
    <row r="13" ht="22.5" customHeight="1">
      <c r="A13" s="24" t="s">
        <v>16</v>
      </c>
      <c r="B13" s="25">
        <f>COUNTIF(Content!F3:F24,"Pass")+COUNTIF(Content!F3:F24,"Fail")+COUNTIF(Content!F3:F24,"N/A")+COUNTIF(Content!F3:F24,"Not Tested")</f>
        <v>19</v>
      </c>
      <c r="C13" s="25">
        <f>COUNTIF(Content!F3:F24,"Pass")</f>
        <v>8</v>
      </c>
      <c r="D13" s="25">
        <f>COUNTIF(Content!F3:F24,"Fail")</f>
        <v>6</v>
      </c>
      <c r="E13" s="25">
        <f>COUNTIF(Content!F3:F24,"N/A")</f>
        <v>5</v>
      </c>
      <c r="F13" s="25" t="str">
        <f t="shared" ref="F13:F21" si="1">IF(B13=0,"—",TEXT((C13+E13)/B13,"0%")&amp;" Pass")</f>
        <v>68% Pass</v>
      </c>
    </row>
    <row r="14" ht="22.5" customHeight="1">
      <c r="A14" s="24" t="s">
        <v>17</v>
      </c>
      <c r="B14" s="25">
        <f>COUNTIF(Design!F3:F29,"Pass")+COUNTIF(Design!F3:F29,"Fail")+COUNTIF(Design!F3:F29,"N/A")+COUNTIF(Design!F3:F29,"Not Tested")</f>
        <v>22</v>
      </c>
      <c r="C14" s="25">
        <f>COUNTIF(Design!F3:F29,"Pass")</f>
        <v>15</v>
      </c>
      <c r="D14" s="25">
        <f>COUNTIF(Design!F3:F29,"Fail")</f>
        <v>4</v>
      </c>
      <c r="E14" s="25">
        <f>COUNTIF(Design!F3:F29,"N/A")</f>
        <v>3</v>
      </c>
      <c r="F14" s="25" t="str">
        <f t="shared" si="1"/>
        <v>82% Pass</v>
      </c>
    </row>
    <row r="15" ht="22.5" customHeight="1">
      <c r="A15" s="24" t="s">
        <v>18</v>
      </c>
      <c r="B15" s="25">
        <f>COUNTIF(Development!F3:F28,"Pass")+COUNTIF(Development!F3:F28,"Fail")+COUNTIF(Development!F3:F28,"N/A")+COUNTIF(Development!F3:F28,"Not Tested")</f>
        <v>21</v>
      </c>
      <c r="C15" s="25">
        <f>COUNTIF(Development!F3:F28,"Pass")</f>
        <v>15</v>
      </c>
      <c r="D15" s="25">
        <f>COUNTIF(Development!F3:F28,"Fail")</f>
        <v>5</v>
      </c>
      <c r="E15" s="25">
        <f>COUNTIF(Development!F3:F28,"N/A")</f>
        <v>1</v>
      </c>
      <c r="F15" s="25" t="str">
        <f t="shared" si="1"/>
        <v>76% Pass</v>
      </c>
    </row>
    <row r="16" ht="22.5" customHeight="1">
      <c r="A16" s="24" t="s">
        <v>19</v>
      </c>
      <c r="B16" s="25">
        <f>COUNTIF(QA_Keyboard!F3:F14,"Pass")+COUNTIF(QA_Keyboard!F3:F14,"Fail")+COUNTIF(QA_Keyboard!F3:F14,"N/A")+COUNTIF(QA_Keyboard!F3:F14,"Not Tested")</f>
        <v>10</v>
      </c>
      <c r="C16" s="25">
        <f>COUNTIF(QA_Keyboard!F3:F14,"Pass")</f>
        <v>5</v>
      </c>
      <c r="D16" s="25">
        <f>COUNTIF(QA_Keyboard!F3:F14,"Fail")</f>
        <v>5</v>
      </c>
      <c r="E16" s="25">
        <f>COUNTIF(QA_Keyboard!F3:F14,"N/A")</f>
        <v>0</v>
      </c>
      <c r="F16" s="25" t="str">
        <f t="shared" si="1"/>
        <v>50% Pass</v>
      </c>
    </row>
    <row r="17" ht="22.5" customHeight="1">
      <c r="A17" s="24" t="s">
        <v>20</v>
      </c>
      <c r="B17" s="25">
        <f>COUNTIF(QA_Forms!F3:F15,"Pass")+COUNTIF(QA_Forms!F3:F15,"Fail")+COUNTIF(QA_Forms!F3:F15,"N/A")+COUNTIF(QA_Forms!F3:F15,"Not Tested")</f>
        <v>11</v>
      </c>
      <c r="C17" s="25">
        <f>COUNTIF(QA_Forms!F3:F15,"Pass")</f>
        <v>9</v>
      </c>
      <c r="D17" s="25">
        <f>COUNTIF(QA_Forms!F3:F15,"Fail")</f>
        <v>1</v>
      </c>
      <c r="E17" s="25">
        <f>COUNTIF(QA_Forms!F3:F15,"N/A")</f>
        <v>1</v>
      </c>
      <c r="F17" s="25" t="str">
        <f t="shared" si="1"/>
        <v>91% Pass</v>
      </c>
    </row>
    <row r="18" ht="22.5" customHeight="1">
      <c r="A18" s="24" t="s">
        <v>21</v>
      </c>
      <c r="B18" s="25">
        <f>COUNTIF(QA_Colour!F3:F8,"Pass")+COUNTIF(QA_Colour!F3:F8,"Fail")+COUNTIF(QA_Colour!F3:F8,"N/A")+COUNTIF(QA_Colour!F3:F8,"Not Tested")</f>
        <v>5</v>
      </c>
      <c r="C18" s="25">
        <f>COUNTIF(QA_Colour!F3:F8,"Pass")</f>
        <v>5</v>
      </c>
      <c r="D18" s="25">
        <f>COUNTIF(QA_Colour!F3:F8,"Fail")</f>
        <v>0</v>
      </c>
      <c r="E18" s="25">
        <f>COUNTIF(QA_Colour!F3:F8,"N/A")</f>
        <v>0</v>
      </c>
      <c r="F18" s="25" t="str">
        <f t="shared" si="1"/>
        <v>100% Pass</v>
      </c>
    </row>
    <row r="19" ht="22.5" customHeight="1">
      <c r="A19" s="26" t="s">
        <v>22</v>
      </c>
      <c r="B19" s="27">
        <f>COUNTIF(QA_ScreenReader!F3:F15,"Pass")+COUNTIF(QA_ScreenReader!F3:F15,"Fail")+COUNTIF(QA_ScreenReader!F3:F15,"N/A")+COUNTIF(QA_ScreenReader!F3:F15,"Not Tested")</f>
        <v>11</v>
      </c>
      <c r="C19" s="27">
        <f>COUNTIF(QA_ScreenReader!F3:F15,"Pass")</f>
        <v>7</v>
      </c>
      <c r="D19" s="27">
        <f>COUNTIF(QA_ScreenReader!F3:F15,"Fail")</f>
        <v>3</v>
      </c>
      <c r="E19" s="27">
        <f>COUNTIF(QA_ScreenReader!F3:F15,"N/A")</f>
        <v>1</v>
      </c>
      <c r="F19" s="25" t="str">
        <f t="shared" si="1"/>
        <v>73% Pass</v>
      </c>
    </row>
    <row r="20" ht="22.5" customHeight="1">
      <c r="A20" s="24" t="s">
        <v>23</v>
      </c>
      <c r="B20" s="27">
        <f>COUNTIF(QA_Media!F3:F16,"Pass")+COUNTIF(QA_Media!F3:F16,"Fail")+COUNTIF(QA_Media!F3:F16,"N/A")+COUNTIF(QA_Media!F3:F16,"Not Tested")</f>
        <v>11</v>
      </c>
      <c r="C20" s="27">
        <f>COUNTIF(QA_Media!F3:F16,"Pass")</f>
        <v>2</v>
      </c>
      <c r="D20" s="27">
        <f>COUNTIF(QA_Media!F3:F16,"Fail")</f>
        <v>4</v>
      </c>
      <c r="E20" s="27">
        <f>COUNTIF(QA_Media!F3:F16,"N/A")</f>
        <v>5</v>
      </c>
      <c r="F20" s="25" t="str">
        <f t="shared" si="1"/>
        <v>64% Pass</v>
      </c>
    </row>
    <row r="21" ht="18.0" customHeight="1">
      <c r="A21" s="28" t="s">
        <v>24</v>
      </c>
      <c r="B21" s="29">
        <f t="shared" ref="B21:E21" si="2">SUM(B13:B20)</f>
        <v>110</v>
      </c>
      <c r="C21" s="29">
        <f t="shared" si="2"/>
        <v>66</v>
      </c>
      <c r="D21" s="29">
        <f t="shared" si="2"/>
        <v>28</v>
      </c>
      <c r="E21" s="29">
        <f t="shared" si="2"/>
        <v>16</v>
      </c>
      <c r="F21" s="29" t="str">
        <f t="shared" si="1"/>
        <v>75% Pass</v>
      </c>
    </row>
    <row r="22" ht="18.0" customHeight="1">
      <c r="A22" s="30"/>
      <c r="B22" s="30"/>
      <c r="C22" s="30"/>
      <c r="D22" s="30"/>
      <c r="E22" s="30"/>
      <c r="F22" s="30"/>
    </row>
    <row r="23" ht="18.0" customHeight="1">
      <c r="A23" s="30"/>
      <c r="B23" s="30"/>
      <c r="C23" s="30"/>
      <c r="D23" s="30"/>
      <c r="E23" s="30"/>
      <c r="F23" s="30"/>
    </row>
    <row r="24" ht="21.75" customHeight="1">
      <c r="A24" s="31" t="s">
        <v>25</v>
      </c>
    </row>
    <row r="25" ht="22.5" customHeight="1">
      <c r="A25" s="32" t="s">
        <v>26</v>
      </c>
      <c r="B25" s="32" t="s">
        <v>27</v>
      </c>
      <c r="C25" s="32" t="s">
        <v>28</v>
      </c>
      <c r="D25" s="32" t="s">
        <v>29</v>
      </c>
      <c r="E25" s="32" t="s">
        <v>30</v>
      </c>
      <c r="F25" s="32" t="s">
        <v>31</v>
      </c>
    </row>
    <row r="26" ht="21.75" customHeight="1">
      <c r="A26" s="33" t="s">
        <v>32</v>
      </c>
      <c r="B26" s="34">
        <f>SUMPRODUCT((Content!C3:C24="A")*1)+SUMPRODUCT((Design!C3:C29="A")*1)+SUMPRODUCT((Development!C3:C28="A")*1)+SUMPRODUCT((QA_Keyboard!C3:C14="A")*1)+SUMPRODUCT((QA_Forms!C3:C15="A")*1)+SUMPRODUCT((QA_Colour!C3:C8="A")*1)+SUMPRODUCT((QA_ScreenReader!C3:C15="A")*1)+SUMPRODUCT((QA_Media!C3:C16="A")*1)</f>
        <v>58</v>
      </c>
      <c r="C26" s="34">
        <f>SUMPRODUCT((Content!C3:C24="A")*((Content!F3:F24="Pass")+(Content!F3:F24="N/A")))+SUMPRODUCT((Design!C3:C29="A")*((Design!F3:F29="Pass")+(Design!F3:F29="N/A")))+SUMPRODUCT((Development!C3:C28="A")*((Development!F3:F28="Pass")+(Development!F3:F28="N/A")))+SUMPRODUCT((QA_Keyboard!C3:C14="A")*((QA_Keyboard!F3:F14="Pass")+(QA_Keyboard!F3:F14="N/A")))+SUMPRODUCT((QA_Forms!C3:C15="A")*((QA_Forms!F3:F15="Pass")+(QA_Forms!F3:F15="N/A")))+SUMPRODUCT((QA_Colour!C3:C8="A")*((QA_Colour!F3:F8="Pass")+(QA_Colour!F3:F8="N/A")))+SUMPRODUCT((QA_ScreenReader!C3:C15="A")*((QA_ScreenReader!F3:F15="Pass")+(QA_ScreenReader!F3:F15="N/A")))+SUMPRODUCT((QA_Media!C3:C16="A")*((QA_Media!F3:F16="Pass")+(QA_Media!F3:F16="N/A")))</f>
        <v>47</v>
      </c>
      <c r="D26" s="34">
        <f>SUMPRODUCT((Content!C3:C24="A")*(Content!F3:F24="Fail"))+SUMPRODUCT((Design!C3:C29="A")*(Design!F3:F29="Fail"))+SUMPRODUCT((Development!C3:C28="A")*(Development!F3:F28="Fail"))+SUMPRODUCT((QA_Keyboard!C3:C14="A")*(QA_Keyboard!F3:F14="Fail"))+SUMPRODUCT((QA_Forms!C3:C15="A")*(QA_Forms!F3:F15="Fail"))+SUMPRODUCT((QA_Colour!C3:C8="A")*(QA_Colour!F3:F8="Fail"))+SUMPRODUCT((QA_ScreenReader!C3:C15="A")*(QA_ScreenReader!F3:F15="Fail"))+SUMPRODUCT((QA_Media!C3:C16="A")*(QA_Media!F3:F16="Fail"))</f>
        <v>11</v>
      </c>
      <c r="E26" s="34">
        <f>SUMPRODUCT((Content!C3:C24="A")*(Content!F3:F24="Not Tested"))+SUMPRODUCT((Design!C3:C29="A")*(Design!F3:F29="Not Tested"))+SUMPRODUCT((Development!C3:C28="A")*(Development!F3:F28="Not Tested"))+SUMPRODUCT((QA_Keyboard!C3:C14="A")*(QA_Keyboard!F3:F14="Not Tested"))+SUMPRODUCT((QA_Forms!C3:C15="A")*(QA_Forms!F3:F15="Not Tested"))+SUMPRODUCT((QA_Colour!C3:C8="A")*(QA_Colour!F3:F8="Not Tested"))+SUMPRODUCT((QA_ScreenReader!C3:C15="A")*(QA_ScreenReader!F3:F15="Not Tested"))+SUMPRODUCT((QA_Media!C3:C16="A")*(QA_Media!F3:F16="Not Tested"))</f>
        <v>0</v>
      </c>
      <c r="F26" s="35" t="str">
        <f t="shared" ref="F26:F29" si="3">IF(D26&gt;0,"Does Not Conform",IF(E26&gt;0,"Incomplete","Conforms"))</f>
        <v>Does Not Conform</v>
      </c>
    </row>
    <row r="27" ht="21.75" customHeight="1">
      <c r="A27" s="33" t="s">
        <v>33</v>
      </c>
      <c r="B27" s="34">
        <f>SUMPRODUCT((Content!C3:C24="AA")*1)+SUMPRODUCT((Design!C3:C29="AA")*1)+SUMPRODUCT((Development!C3:C28="AA")*1)+SUMPRODUCT((QA_Keyboard!C3:C14="AA")*1)+SUMPRODUCT((QA_Forms!C3:C15="AA")*1)+SUMPRODUCT((QA_Colour!C3:C8="AA")*1)+SUMPRODUCT((QA_ScreenReader!C3:C15="AA")*1)+SUMPRODUCT((QA_Media!C3:C16="AA")*1)</f>
        <v>37</v>
      </c>
      <c r="C27" s="34">
        <f>SUMPRODUCT((Content!C3:C24="AA")*((Content!F3:F24="Pass")+(Content!F3:F24="N/A")))+SUMPRODUCT((Design!C3:C29="AA")*((Design!F3:F29="Pass")+(Design!F3:F29="N/A")))+SUMPRODUCT((Development!C3:C28="AA")*((Development!F3:F28="Pass")+(Development!F3:F28="N/A")))+SUMPRODUCT((QA_Keyboard!C3:C14="AA")*((QA_Keyboard!F3:F14="Pass")+(QA_Keyboard!F3:F14="N/A")))+SUMPRODUCT((QA_Forms!C3:C15="AA")*((QA_Forms!F3:F15="Pass")+(QA_Forms!F3:F15="N/A")))+SUMPRODUCT((QA_Colour!C3:C8="AA")*((QA_Colour!F3:F8="Pass")+(QA_Colour!F3:F8="N/A")))+SUMPRODUCT((QA_ScreenReader!C3:C15="AA")*((QA_ScreenReader!F3:F15="Pass")+(QA_ScreenReader!F3:F15="N/A")))+SUMPRODUCT((QA_Media!C3:C16="AA")*((QA_Media!F3:F16="Pass")+(QA_Media!F3:F16="N/A")))</f>
        <v>27</v>
      </c>
      <c r="D27" s="34">
        <f>SUMPRODUCT((Content!C3:C24="AA")*(Content!F3:F24="Fail"))+SUMPRODUCT((Design!C3:C29="AA")*(Design!F3:F29="Fail"))+SUMPRODUCT((Development!C3:C28="AA")*(Development!F3:F28="Fail"))+SUMPRODUCT((QA_Keyboard!C3:C14="AA")*(QA_Keyboard!F3:F14="Fail"))+SUMPRODUCT((QA_Forms!C3:C15="AA")*(QA_Forms!F3:F15="Fail"))+SUMPRODUCT((QA_Colour!C3:C8="AA")*(QA_Colour!F3:F8="Fail"))+SUMPRODUCT((QA_ScreenReader!C3:C15="AA")*(QA_ScreenReader!F3:F15="Fail"))+SUMPRODUCT((QA_Media!C3:C16="AA")*(QA_Media!F3:F16="Fail"))</f>
        <v>10</v>
      </c>
      <c r="E27" s="34">
        <f>SUMPRODUCT((Content!C3:C24="AA")*(Content!F3:F24="Not Tested"))+SUMPRODUCT((Design!C3:C29="AA")*(Design!F3:F29="Not Tested"))+SUMPRODUCT((Development!C3:C28="AA")*(Development!F3:F28="Not Tested"))+SUMPRODUCT((QA_Keyboard!C3:C14="AA")*(QA_Keyboard!F3:F14="Not Tested"))+SUMPRODUCT((QA_Forms!C3:C15="AA")*(QA_Forms!F3:F15="Not Tested"))+SUMPRODUCT((QA_Colour!C3:C8="AA")*(QA_Colour!F3:F8="Not Tested"))+SUMPRODUCT((QA_ScreenReader!C3:C15="AA")*(QA_ScreenReader!F3:F15="Not Tested"))+SUMPRODUCT((QA_Media!C3:C16="AA")*(QA_Media!F3:F16="Not Tested"))</f>
        <v>0</v>
      </c>
      <c r="F27" s="35" t="str">
        <f t="shared" si="3"/>
        <v>Does Not Conform</v>
      </c>
    </row>
    <row r="28" ht="21.75" customHeight="1">
      <c r="A28" s="33" t="s">
        <v>34</v>
      </c>
      <c r="B28" s="34">
        <f>SUMPRODUCT((Content!C3:C24="AAA")*1)+SUMPRODUCT((Design!C3:C29="AAA")*1)+SUMPRODUCT((Development!C3:C28="AAA")*1)+SUMPRODUCT((QA_Keyboard!C3:C14="AAA")*1)+SUMPRODUCT((QA_Forms!C3:C15="AAA")*1)+SUMPRODUCT((QA_Colour!C3:C8="AAA")*1)+SUMPRODUCT((QA_ScreenReader!C3:C15="AAA")*1)+SUMPRODUCT((QA_Media!C3:C16="AAA")*1)</f>
        <v>4</v>
      </c>
      <c r="C28" s="34">
        <f>SUMPRODUCT((Content!C3:C24="AAA")*((Content!F3:F24="Pass")+(Content!F3:F24="N/A")))+SUMPRODUCT((Design!C3:C29="AAA")*((Design!F3:F29="Pass")+(Design!F3:F29="N/A")))+SUMPRODUCT((Development!C3:C28="AAA")*((Development!F3:F28="Pass")+(Development!F3:F28="N/A")))+SUMPRODUCT((QA_Keyboard!C3:C14="AAA")*((QA_Keyboard!F3:F14="Pass")+(QA_Keyboard!F3:F14="N/A")))+SUMPRODUCT((QA_Forms!C3:C15="AAA")*((QA_Forms!F3:F15="Pass")+(QA_Forms!F3:F15="N/A")))+SUMPRODUCT((QA_Colour!C3:C8="AAA")*((QA_Colour!F3:F8="Pass")+(QA_Colour!F3:F8="N/A")))+SUMPRODUCT((QA_ScreenReader!C3:C15="AAA")*((QA_ScreenReader!F3:F15="Pass")+(QA_ScreenReader!F3:F15="N/A")))+SUMPRODUCT((QA_Media!C3:C16="AAA")*((QA_Media!F3:F16="Pass")+(QA_Media!F3:F16="N/A")))</f>
        <v>0</v>
      </c>
      <c r="D28" s="34">
        <f>SUMPRODUCT((Content!C3:C24="AAA")*(Content!F3:F24="Fail"))+SUMPRODUCT((Design!C3:C29="AAA")*(Design!F3:F29="Fail"))+SUMPRODUCT((Development!C3:C28="AAA")*(Development!F3:F28="Fail"))+SUMPRODUCT((QA_Keyboard!C3:C14="AAA")*(QA_Keyboard!F3:F14="Fail"))+SUMPRODUCT((QA_Forms!C3:C15="AAA")*(QA_Forms!F3:F15="Fail"))+SUMPRODUCT((QA_Colour!C3:C8="AAA")*(QA_Colour!F3:F8="Fail"))+SUMPRODUCT((QA_ScreenReader!C3:C15="AAA")*(QA_ScreenReader!F3:F15="Fail"))+SUMPRODUCT((QA_Media!C3:C16="AAA")*(QA_Media!F3:F16="Fail"))</f>
        <v>4</v>
      </c>
      <c r="E28" s="34">
        <f>SUMPRODUCT((Content!C3:C24="AAA")*(Content!F3:F24="Not Tested"))+SUMPRODUCT((Design!C3:C29="AAA")*(Design!F3:F29="Not Tested"))+SUMPRODUCT((Development!C3:C28="AAA")*(Development!F3:F28="Not Tested"))+SUMPRODUCT((QA_Keyboard!C3:C14="AAA")*(QA_Keyboard!F3:F14="Not Tested"))+SUMPRODUCT((QA_Forms!C3:C15="AAA")*(QA_Forms!F3:F15="Not Tested"))+SUMPRODUCT((QA_Colour!C3:C8="AAA")*(QA_Colour!F3:F8="Not Tested"))+SUMPRODUCT((QA_ScreenReader!C3:C15="AAA")*(QA_ScreenReader!F3:F15="Not Tested"))+SUMPRODUCT((QA_Media!C3:C16="AAA")*(QA_Media!F3:F16="Not Tested"))</f>
        <v>0</v>
      </c>
      <c r="F28" s="35" t="str">
        <f t="shared" si="3"/>
        <v>Does Not Conform</v>
      </c>
    </row>
    <row r="29" ht="21.75" customHeight="1">
      <c r="A29" s="33" t="s">
        <v>35</v>
      </c>
      <c r="B29" s="34">
        <f>SUMPRODUCT((Content!C3:C24="BP")*1)+SUMPRODUCT((Design!C3:C29="BP")*1)+SUMPRODUCT((Development!C3:C28="BP")*1)+SUMPRODUCT((QA_Keyboard!C3:C14="BP")*1)+SUMPRODUCT((QA_Forms!C3:C15="BP")*1)+SUMPRODUCT((QA_Colour!C3:C8="BP")*1)+SUMPRODUCT((QA_ScreenReader!C3:C15="BP")*1)+SUMPRODUCT((QA_Media!C3:C16="BP")*1)</f>
        <v>11</v>
      </c>
      <c r="C29" s="34">
        <f>SUMPRODUCT((Content!C3:C24="BP")*((Content!F3:F24="Pass")+(Content!F3:F24="N/A")))+SUMPRODUCT((Design!C3:C29="BP")*((Design!F3:F29="Pass")+(Design!F3:F29="N/A")))+SUMPRODUCT((Development!C3:C28="BP")*((Development!F3:F28="Pass")+(Development!F3:F28="N/A")))+SUMPRODUCT((QA_Keyboard!C3:C14="BP")*((QA_Keyboard!F3:F14="Pass")+(QA_Keyboard!F3:F14="N/A")))+SUMPRODUCT((QA_Forms!C3:C15="BP")*((QA_Forms!F3:F15="Pass")+(QA_Forms!F3:F15="N/A")))+SUMPRODUCT((QA_Colour!C3:C8="BP")*((QA_Colour!F3:F8="Pass")+(QA_Colour!F3:F8="N/A")))+SUMPRODUCT((QA_ScreenReader!C3:C15="BP")*((QA_ScreenReader!F3:F15="Pass")+(QA_ScreenReader!F3:F15="N/A")))+SUMPRODUCT((QA_Media!C3:C16="BP")*((QA_Media!F3:F16="Pass")+(QA_Media!F3:F16="N/A")))</f>
        <v>8</v>
      </c>
      <c r="D29" s="34">
        <f>SUMPRODUCT((Content!C3:C24="BP")*(Content!F3:F24="Fail"))+SUMPRODUCT((Design!C3:C29="BP")*(Design!F3:F29="Fail"))+SUMPRODUCT((Development!C3:C28="BP")*(Development!F3:F28="Fail"))+SUMPRODUCT((QA_Keyboard!C3:C14="BP")*(QA_Keyboard!F3:F14="Fail"))+SUMPRODUCT((QA_Forms!C3:C15="BP")*(QA_Forms!F3:F15="Fail"))+SUMPRODUCT((QA_Colour!C3:C8="BP")*(QA_Colour!F3:F8="Fail"))+SUMPRODUCT((QA_ScreenReader!C3:C15="BP")*(QA_ScreenReader!F3:F15="Fail"))+SUMPRODUCT((QA_Media!C3:C16="BP")*(QA_Media!F3:F16="Fail"))</f>
        <v>3</v>
      </c>
      <c r="E29" s="34">
        <f>SUMPRODUCT((Content!C3:C24="BP")*(Content!F3:F24="Not Tested"))+SUMPRODUCT((Design!C3:C29="BP")*(Design!F3:F29="Not Tested"))+SUMPRODUCT((Development!C3:C28="BP")*(Development!F3:F28="Not Tested"))+SUMPRODUCT((QA_Keyboard!C3:C14="BP")*(QA_Keyboard!F3:F14="Not Tested"))+SUMPRODUCT((QA_Forms!C3:C15="BP")*(QA_Forms!F3:F15="Not Tested"))+SUMPRODUCT((QA_Colour!C3:C8="BP")*(QA_Colour!F3:F8="Not Tested"))+SUMPRODUCT((QA_ScreenReader!C3:C15="BP")*(QA_ScreenReader!F3:F15="Not Tested"))+SUMPRODUCT((QA_Media!C3:C16="BP")*(QA_Media!F3:F16="Not Tested"))</f>
        <v>0</v>
      </c>
      <c r="F29" s="35" t="str">
        <f t="shared" si="3"/>
        <v>Does Not Conform</v>
      </c>
    </row>
    <row r="30" ht="21.75" customHeight="1">
      <c r="A30" s="36" t="str">
        <f>IF(F26="Does Not Conform","This audit does not currently conform to WCAG 2.2 Level A.",IF(F27="Does Not Conform","This audit currently conforms to WCAG 2.2 Level A only.",IF(F28="Does Not Conform","This audit currently conforms to WCAG 2.2 Level AA.",IF(F28="Conforms","This audit currently conforms to WCAG 2.2 Level AAA.",""))))</f>
        <v>This audit does not currently conform to WCAG 2.2 Level A.</v>
      </c>
    </row>
    <row r="31" ht="9.75" customHeight="1">
      <c r="A31" s="37"/>
      <c r="B31" s="30"/>
      <c r="C31" s="30"/>
      <c r="D31" s="30"/>
      <c r="E31" s="30"/>
      <c r="F31" s="30"/>
    </row>
    <row r="32" ht="13.5" customHeight="1">
      <c r="A32" s="38"/>
      <c r="B32" s="38"/>
      <c r="C32" s="38"/>
      <c r="D32" s="38"/>
      <c r="E32" s="38"/>
      <c r="F32" s="38"/>
    </row>
    <row r="33" ht="24.0" customHeight="1">
      <c r="A33" s="23" t="s">
        <v>36</v>
      </c>
      <c r="B33" s="38"/>
      <c r="C33" s="38"/>
      <c r="D33" s="38"/>
      <c r="E33" s="38"/>
      <c r="F33" s="38"/>
    </row>
    <row r="34" ht="28.5" customHeight="1">
      <c r="A34" s="39" t="s">
        <v>32</v>
      </c>
      <c r="B34" s="40" t="s">
        <v>37</v>
      </c>
      <c r="C34" s="19"/>
      <c r="D34" s="19"/>
      <c r="E34" s="19"/>
      <c r="F34" s="20"/>
    </row>
    <row r="35" ht="35.25" customHeight="1">
      <c r="A35" s="41" t="s">
        <v>33</v>
      </c>
      <c r="B35" s="40" t="s">
        <v>38</v>
      </c>
      <c r="C35" s="19"/>
      <c r="D35" s="19"/>
      <c r="E35" s="19"/>
      <c r="F35" s="20"/>
    </row>
    <row r="36" ht="31.5" customHeight="1">
      <c r="A36" s="42" t="s">
        <v>34</v>
      </c>
      <c r="B36" s="40" t="s">
        <v>39</v>
      </c>
      <c r="C36" s="19"/>
      <c r="D36" s="19"/>
      <c r="E36" s="19"/>
      <c r="F36" s="20"/>
    </row>
    <row r="37" ht="36.75" customHeight="1">
      <c r="A37" s="43" t="s">
        <v>35</v>
      </c>
      <c r="B37" s="40" t="s">
        <v>40</v>
      </c>
      <c r="C37" s="19"/>
      <c r="D37" s="19"/>
      <c r="E37" s="19"/>
      <c r="F37" s="20"/>
    </row>
    <row r="38" ht="15.75" customHeight="1">
      <c r="A38" s="38"/>
      <c r="B38" s="38"/>
      <c r="C38" s="38"/>
      <c r="D38" s="38"/>
      <c r="E38" s="38"/>
      <c r="F38" s="38"/>
    </row>
    <row r="39" ht="15.75" customHeight="1">
      <c r="A39" s="23" t="s">
        <v>41</v>
      </c>
      <c r="B39" s="38"/>
      <c r="C39" s="38"/>
      <c r="D39" s="38"/>
      <c r="E39" s="38"/>
      <c r="F39" s="38"/>
    </row>
    <row r="40" ht="30.0" customHeight="1">
      <c r="A40" s="44" t="s">
        <v>12</v>
      </c>
      <c r="B40" s="45" t="s">
        <v>42</v>
      </c>
      <c r="C40" s="19"/>
      <c r="D40" s="19"/>
      <c r="E40" s="19"/>
      <c r="F40" s="20"/>
    </row>
    <row r="41" ht="30.0" customHeight="1">
      <c r="A41" s="46" t="s">
        <v>29</v>
      </c>
      <c r="B41" s="45" t="s">
        <v>43</v>
      </c>
      <c r="C41" s="19"/>
      <c r="D41" s="19"/>
      <c r="E41" s="19"/>
      <c r="F41" s="20"/>
    </row>
    <row r="42" ht="30.0" customHeight="1">
      <c r="A42" s="47" t="s">
        <v>14</v>
      </c>
      <c r="B42" s="45" t="s">
        <v>44</v>
      </c>
      <c r="C42" s="19"/>
      <c r="D42" s="19"/>
      <c r="E42" s="19"/>
      <c r="F42" s="20"/>
    </row>
    <row r="43" ht="30.0" customHeight="1">
      <c r="A43" s="48" t="s">
        <v>30</v>
      </c>
      <c r="B43" s="45" t="s">
        <v>45</v>
      </c>
      <c r="C43" s="19"/>
      <c r="D43" s="19"/>
      <c r="E43" s="19"/>
      <c r="F43" s="20"/>
    </row>
    <row r="44" ht="15.75" customHeight="1">
      <c r="A44" s="38"/>
      <c r="B44" s="38"/>
      <c r="C44" s="38"/>
      <c r="D44" s="38"/>
      <c r="E44" s="38"/>
      <c r="F44" s="38"/>
    </row>
    <row r="45" ht="15.75" customHeight="1">
      <c r="A45" s="38"/>
      <c r="B45" s="38"/>
      <c r="C45" s="38"/>
      <c r="D45" s="38"/>
      <c r="E45" s="38"/>
      <c r="F45" s="38"/>
    </row>
  </sheetData>
  <mergeCells count="17">
    <mergeCell ref="A1:F3"/>
    <mergeCell ref="A5:F5"/>
    <mergeCell ref="A7:F7"/>
    <mergeCell ref="B8:F8"/>
    <mergeCell ref="B9:F9"/>
    <mergeCell ref="B10:F10"/>
    <mergeCell ref="B11:F11"/>
    <mergeCell ref="B41:F41"/>
    <mergeCell ref="B42:F42"/>
    <mergeCell ref="B43:F43"/>
    <mergeCell ref="A24:F24"/>
    <mergeCell ref="A30:F30"/>
    <mergeCell ref="B34:F34"/>
    <mergeCell ref="B35:F35"/>
    <mergeCell ref="B36:F36"/>
    <mergeCell ref="B37:F37"/>
    <mergeCell ref="B40:F40"/>
  </mergeCells>
  <conditionalFormatting sqref="F29 F31">
    <cfRule type="cellIs" dxfId="0" priority="1" operator="equal">
      <formula>"Conforms"</formula>
    </cfRule>
  </conditionalFormatting>
  <conditionalFormatting sqref="F29 F31">
    <cfRule type="cellIs" dxfId="1" priority="2" operator="equal">
      <formula>"Does Not Conform"</formula>
    </cfRule>
  </conditionalFormatting>
  <conditionalFormatting sqref="F29 F31">
    <cfRule type="cellIs" dxfId="2" priority="3" operator="equal">
      <formula>"Incomplete — items not yet tested"</formula>
    </cfRule>
  </conditionalFormatting>
  <conditionalFormatting sqref="F28:F29">
    <cfRule type="cellIs" dxfId="0" priority="4" operator="equal">
      <formula>"Conforms"</formula>
    </cfRule>
  </conditionalFormatting>
  <conditionalFormatting sqref="F28:F29">
    <cfRule type="cellIs" dxfId="1" priority="5" operator="equal">
      <formula>"Does Not Conform"</formula>
    </cfRule>
  </conditionalFormatting>
  <conditionalFormatting sqref="F28:F29">
    <cfRule type="cellIs" dxfId="3" priority="6" operator="equal">
      <formula>"Incomplete"</formula>
    </cfRule>
  </conditionalFormatting>
  <conditionalFormatting sqref="F26:F29">
    <cfRule type="cellIs" dxfId="0" priority="7" operator="equal">
      <formula>"Conforms"</formula>
    </cfRule>
  </conditionalFormatting>
  <conditionalFormatting sqref="F26:F29">
    <cfRule type="cellIs" dxfId="1" priority="8" operator="equal">
      <formula>"Does Not Conform"</formula>
    </cfRule>
  </conditionalFormatting>
  <conditionalFormatting sqref="F26:F29">
    <cfRule type="cellIs" dxfId="3" priority="9" operator="equal">
      <formula>"Incomplete"</formula>
    </cfRule>
  </conditionalFormatting>
  <hyperlinks>
    <hyperlink r:id="rId1" ref="B9"/>
  </hyperlinks>
  <printOptions/>
  <pageMargins bottom="1.0" footer="0.0" header="0.0" left="0.75" right="0.75" top="1.0"/>
  <pageSetup orientation="landscape"/>
  <drawing r:id="rId2"/>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showGridLines="0" workbookViewId="0">
      <pane ySplit="7.0" topLeftCell="A8" activePane="bottomLeft" state="frozen"/>
      <selection activeCell="B9" sqref="B9" pane="bottomLeft"/>
    </sheetView>
  </sheetViews>
  <sheetFormatPr customHeight="1" defaultColWidth="14.43" defaultRowHeight="15.0"/>
  <cols>
    <col customWidth="1" min="1" max="1" width="30.71"/>
    <col customWidth="1" min="2" max="2" width="26.57"/>
    <col customWidth="1" min="3" max="3" width="9.14"/>
    <col customWidth="1" min="4" max="4" width="71.43"/>
    <col customWidth="1" min="5" max="5" width="14.0"/>
    <col customWidth="1" min="6" max="6" width="10.29"/>
    <col customWidth="1" min="7" max="7" width="70.43"/>
  </cols>
  <sheetData>
    <row r="1" ht="30.0" customHeight="1">
      <c r="A1" s="49" t="s">
        <v>46</v>
      </c>
    </row>
    <row r="2" ht="18.0" customHeight="1">
      <c r="A2" s="50" t="s">
        <v>47</v>
      </c>
      <c r="B2" s="51" t="str">
        <f>Dashboard!$B$8</f>
        <v>The Bank Workers Charity</v>
      </c>
      <c r="C2" s="19"/>
      <c r="D2" s="19"/>
      <c r="E2" s="19"/>
      <c r="F2" s="19"/>
      <c r="G2" s="20"/>
    </row>
    <row r="3" ht="18.0" customHeight="1">
      <c r="A3" s="50" t="s">
        <v>48</v>
      </c>
      <c r="B3" s="52" t="str">
        <f>Dashboard!$B$9</f>
        <v>https://www.bwcharity.org.uk/</v>
      </c>
      <c r="C3" s="19"/>
      <c r="D3" s="19"/>
      <c r="E3" s="19"/>
      <c r="F3" s="19"/>
      <c r="G3" s="20"/>
    </row>
    <row r="4" ht="18.0" customHeight="1">
      <c r="A4" s="50" t="s">
        <v>7</v>
      </c>
      <c r="B4" s="53">
        <f>Dashboard!$B$10</f>
        <v>46177</v>
      </c>
      <c r="C4" s="19"/>
      <c r="D4" s="19"/>
      <c r="E4" s="19"/>
      <c r="F4" s="19"/>
      <c r="G4" s="20"/>
    </row>
    <row r="5" ht="18.0" customHeight="1">
      <c r="A5" s="50" t="s">
        <v>8</v>
      </c>
      <c r="B5" s="51" t="str">
        <f>Dashboard!$B$11</f>
        <v>Charlotte Coveney</v>
      </c>
      <c r="C5" s="19"/>
      <c r="D5" s="19"/>
      <c r="E5" s="19"/>
      <c r="F5" s="19"/>
      <c r="G5" s="20"/>
    </row>
    <row r="6" ht="18.0" customHeight="1">
      <c r="A6" s="54" t="s">
        <v>49</v>
      </c>
      <c r="B6" s="19"/>
      <c r="C6" s="19"/>
      <c r="D6" s="19"/>
      <c r="E6" s="19"/>
      <c r="F6" s="19"/>
      <c r="G6" s="20"/>
    </row>
    <row r="7" ht="21.75" customHeight="1">
      <c r="A7" s="55" t="s">
        <v>10</v>
      </c>
      <c r="B7" s="55" t="s">
        <v>50</v>
      </c>
      <c r="C7" s="55" t="s">
        <v>26</v>
      </c>
      <c r="D7" s="55" t="s">
        <v>51</v>
      </c>
      <c r="E7" s="55" t="s">
        <v>52</v>
      </c>
      <c r="F7" s="55" t="s">
        <v>53</v>
      </c>
      <c r="G7" s="55" t="s">
        <v>54</v>
      </c>
    </row>
    <row r="8" ht="45.0" customHeight="1">
      <c r="A8" s="56" t="str">
        <f>IFERROR(__xludf.DUMMYFUNCTION("VSTACK(IFERROR(FILTER(HSTACK(ARRAYFORMULA(IF(ROW(Content!B3:B24)-ROW(Content!B3)+1&gt;0,""Section 1 — Content"","""")),Content!B3:B24,Content!C3:C24,Content!D3:D24,Content!E3:E24,Content!F3:F24,Content!G3:G24),Content!F3:F24=""Fail""),{""Section 1 — Content"&amp;""",""—"",""—"",""No issues found in this section"","""","""",""""}),IFERROR(FILTER(HSTACK(ARRAYFORMULA(IF(ROW(Design!B3:B29)-ROW(Design!B3)+1&gt;0,""Section 2 — Design"","""")),Design!B3:B29,Design!C3:C29,Design!D3:D29,Design!E3:E29,Design!F3:F29,Design!G3:G"&amp;"29),Design!F3:F29=""Fail""),{""Section 2 — Design"",""—"",""—"",""No issues found in this section"","""","""",""""}),IFERROR(FILTER(HSTACK(ARRAYFORMULA(IF(ROW(Development!B3:B28)-ROW(Development!B3)+1&gt;0,""Section 3 — Development"","""")),Development!B3:B2"&amp;"8,Development!C3:C28,Development!D3:D28,Development!E3:E28,Development!F3:F28,Development!G3:G28),Development!F3:F28=""Fail""),{""Section 3 — Development"",""—"",""—"",""No issues found in this section"","""","""",""""}),IFERROR(FILTER(HSTACK(ARRAYFORMULA"&amp;"(IF(ROW(QA_Keyboard!B3:B14)-ROW(QA_Keyboard!B3)+1&gt;0,""Section 4 — QA: Keyboard"","""")),QA_Keyboard!B3:B14,QA_Keyboard!C3:C14,QA_Keyboard!D3:D14,QA_Keyboard!E3:E14,QA_Keyboard!F3:F14,QA_Keyboard!G3:G14),QA_Keyboard!F3:F14=""Fail""),{""Section 4 — QA: Keyb"&amp;"oard"",""—"",""—"",""No issues found in this section"","""","""",""""}),IFERROR(FILTER(HSTACK(ARRAYFORMULA(IF(ROW(QA_Forms!B3:B15)-ROW(QA_Forms!B3)+1&gt;0,""Section 5 — QA: Forms &amp; Input"","""")),QA_Forms!B3:B15,QA_Forms!C3:C15,QA_Forms!D3:D15,QA_Forms!E3:E1"&amp;"5,QA_Forms!F3:F15,QA_Forms!G3:G15),QA_Forms!F3:F15=""Fail""),{""Section 5 — QA: Forms &amp; Input"",""—"",""—"",""No issues found in this section"","""","""",""""}),IFERROR(FILTER(HSTACK(ARRAYFORMULA(IF(ROW(QA_Colour!B3:B8)-ROW(QA_Colour!B3)+1&gt;0,""Section 6 —"&amp;" QA: Colour &amp; Contrast"","""")),QA_Colour!B3:B8,QA_Colour!C3:C8,QA_Colour!D3:D8,QA_Colour!E3:E8,QA_Colour!F3:F8,QA_Colour!G3:G8),QA_Colour!F3:F8=""Fail""),{""Section 6 — QA: Colour &amp; Contrast"",""—"",""—"",""No issues found in this section"","""","""","""&amp;"""}),IFERROR(FILTER(HSTACK(ARRAYFORMULA(IF(ROW(QA_ScreenReader!B3:B15)-ROW(QA_ScreenReader!B3)+1&gt;0,""Section 7 — QA: Screen Reader"","""")),QA_ScreenReader!B3:B15,QA_ScreenReader!C3:C15,QA_ScreenReader!D3:D15,QA_ScreenReader!E3:E15,QA_ScreenReader!F3:F15,"&amp;"QA_ScreenReader!G3:G15),QA_ScreenReader!F3:F15=""Fail""),{""Section 7 — QA: Screen Reader"",""—"",""—"",""No issues found in this section"","""","""",""""}),IFERROR(FILTER(HSTACK(ARRAYFORMULA(IF(ROW(QA_Media!B3:B16)-ROW(QA_Media!B3)+1&gt;0,""Section 8 — QA: "&amp;"Media"","""")),QA_Media!B3:B16,QA_Media!C3:C16,QA_Media!D3:D16,QA_Media!E3:E16,QA_Media!F3:F16,QA_Media!G3:G16),QA_Media!F3:F16=""Fail""),{""Section 8 — QA: Media"",""—"",""—"",""No issues found in this section"","""","""",""""}))"),"Section 1 — Content")</f>
        <v>Section 1 — Content</v>
      </c>
      <c r="B8" s="57" t="str">
        <f>IFERROR(__xludf.DUMMYFUNCTION("""COMPUTED_VALUE"""),"1.1.1")</f>
        <v>1.1.1</v>
      </c>
      <c r="C8" s="57" t="str">
        <f>IFERROR(__xludf.DUMMYFUNCTION("""COMPUTED_VALUE"""),"A")</f>
        <v>A</v>
      </c>
      <c r="D8" s="57" t="str">
        <f>IFERROR(__xludf.DUMMYFUNCTION("""COMPUTED_VALUE"""),"Images have meaningful alternative text (or null alt if decorative)")</f>
        <v>Images have meaningful alternative text (or null alt if decorative)</v>
      </c>
      <c r="E8" s="57" t="str">
        <f>IFERROR(__xludf.DUMMYFUNCTION("""COMPUTED_VALUE"""),"Content")</f>
        <v>Content</v>
      </c>
      <c r="F8" s="57" t="str">
        <f>IFERROR(__xludf.DUMMYFUNCTION("""COMPUTED_VALUE"""),"Fail")</f>
        <v>Fail</v>
      </c>
      <c r="G8" s="58" t="str">
        <f>IFERROR(__xludf.DUMMYFUNCTION("""COMPUTED_VALUE"""),"Illustrations missing alt tags (Wellbeing Pulse pages, Get involved pages) and Wellbeing Pulse cover image. All images are decorative and therefore low priority.")</f>
        <v>Illustrations missing alt tags (Wellbeing Pulse pages, Get involved pages) and Wellbeing Pulse cover image. All images are decorative and therefore low priority.</v>
      </c>
    </row>
    <row r="9" ht="45.0" customHeight="1">
      <c r="A9" s="57" t="str">
        <f>IFERROR(__xludf.DUMMYFUNCTION("""COMPUTED_VALUE"""),"Section 1 — Content")</f>
        <v>Section 1 — Content</v>
      </c>
      <c r="B9" s="57" t="str">
        <f>IFERROR(__xludf.DUMMYFUNCTION("""COMPUTED_VALUE"""),"1.2.2")</f>
        <v>1.2.2</v>
      </c>
      <c r="C9" s="57" t="str">
        <f>IFERROR(__xludf.DUMMYFUNCTION("""COMPUTED_VALUE"""),"A")</f>
        <v>A</v>
      </c>
      <c r="D9" s="57" t="str">
        <f>IFERROR(__xludf.DUMMYFUNCTION("""COMPUTED_VALUE"""),"Captions provided for pre-recorded video with audio")</f>
        <v>Captions provided for pre-recorded video with audio</v>
      </c>
      <c r="E9" s="57" t="str">
        <f>IFERROR(__xludf.DUMMYFUNCTION("""COMPUTED_VALUE"""),"Content")</f>
        <v>Content</v>
      </c>
      <c r="F9" s="57" t="str">
        <f>IFERROR(__xludf.DUMMYFUNCTION("""COMPUTED_VALUE"""),"Fail")</f>
        <v>Fail</v>
      </c>
      <c r="G9" s="58" t="str">
        <f>IFERROR(__xludf.DUMMYFUNCTION("""COMPUTED_VALUE"""),"Client stories videos missing captions")</f>
        <v>Client stories videos missing captions</v>
      </c>
    </row>
    <row r="10" ht="45.0" customHeight="1">
      <c r="A10" s="57" t="str">
        <f>IFERROR(__xludf.DUMMYFUNCTION("""COMPUTED_VALUE"""),"Section 1 — Content")</f>
        <v>Section 1 — Content</v>
      </c>
      <c r="B10" s="57" t="str">
        <f>IFERROR(__xludf.DUMMYFUNCTION("""COMPUTED_VALUE"""),"1.2.5")</f>
        <v>1.2.5</v>
      </c>
      <c r="C10" s="57" t="str">
        <f>IFERROR(__xludf.DUMMYFUNCTION("""COMPUTED_VALUE"""),"AA")</f>
        <v>AA</v>
      </c>
      <c r="D10" s="57" t="str">
        <f>IFERROR(__xludf.DUMMYFUNCTION("""COMPUTED_VALUE"""),"Audio descriptions provided for pre-recorded video")</f>
        <v>Audio descriptions provided for pre-recorded video</v>
      </c>
      <c r="E10" s="57" t="str">
        <f>IFERROR(__xludf.DUMMYFUNCTION("""COMPUTED_VALUE"""),"Content")</f>
        <v>Content</v>
      </c>
      <c r="F10" s="57" t="str">
        <f>IFERROR(__xludf.DUMMYFUNCTION("""COMPUTED_VALUE"""),"Fail")</f>
        <v>Fail</v>
      </c>
      <c r="G10" s="58" t="str">
        <f>IFERROR(__xludf.DUMMYFUNCTION("""COMPUTED_VALUE"""),"Client stories videos missing audio descriptions")</f>
        <v>Client stories videos missing audio descriptions</v>
      </c>
    </row>
    <row r="11" ht="45.0" customHeight="1">
      <c r="A11" s="57" t="str">
        <f>IFERROR(__xludf.DUMMYFUNCTION("""COMPUTED_VALUE"""),"Section 1 — Content")</f>
        <v>Section 1 — Content</v>
      </c>
      <c r="B11" s="57" t="str">
        <f>IFERROR(__xludf.DUMMYFUNCTION("""COMPUTED_VALUE"""),"2.4.4")</f>
        <v>2.4.4</v>
      </c>
      <c r="C11" s="57" t="str">
        <f>IFERROR(__xludf.DUMMYFUNCTION("""COMPUTED_VALUE"""),"A")</f>
        <v>A</v>
      </c>
      <c r="D11" s="57" t="str">
        <f>IFERROR(__xludf.DUMMYFUNCTION("""COMPUTED_VALUE"""),"Ambiguous link text avoided; link purpose clear from link text alone")</f>
        <v>Ambiguous link text avoided; link purpose clear from link text alone</v>
      </c>
      <c r="E11" s="57" t="str">
        <f>IFERROR(__xludf.DUMMYFUNCTION("""COMPUTED_VALUE"""),"Content")</f>
        <v>Content</v>
      </c>
      <c r="F11" s="57" t="str">
        <f>IFERROR(__xludf.DUMMYFUNCTION("""COMPUTED_VALUE"""),"Fail")</f>
        <v>Fail</v>
      </c>
      <c r="G11" s="58" t="str">
        <f>IFERROR(__xludf.DUMMYFUNCTION("""COMPUTED_VALUE"""),"""Tell me more, learn more, show me more"" links on homepage should be more descriptive e.g. ""Learn more about us, Read Daisy's story, Show me more client stories""")</f>
        <v>"Tell me more, learn more, show me more" links on homepage should be more descriptive e.g. "Learn more about us, Read Daisy's story, Show me more client stories"</v>
      </c>
    </row>
    <row r="12" ht="45.0" customHeight="1">
      <c r="A12" s="57" t="str">
        <f>IFERROR(__xludf.DUMMYFUNCTION("""COMPUTED_VALUE"""),"Section 1 — Content")</f>
        <v>Section 1 — Content</v>
      </c>
      <c r="B12" s="57" t="str">
        <f>IFERROR(__xludf.DUMMYFUNCTION("""COMPUTED_VALUE"""),"3.2.4")</f>
        <v>3.2.4</v>
      </c>
      <c r="C12" s="57" t="str">
        <f>IFERROR(__xludf.DUMMYFUNCTION("""COMPUTED_VALUE"""),"AA")</f>
        <v>AA</v>
      </c>
      <c r="D12" s="57" t="str">
        <f>IFERROR(__xludf.DUMMYFUNCTION("""COMPUTED_VALUE"""),"Terminology for functionality is used consistently across the service")</f>
        <v>Terminology for functionality is used consistently across the service</v>
      </c>
      <c r="E12" s="57" t="str">
        <f>IFERROR(__xludf.DUMMYFUNCTION("""COMPUTED_VALUE"""),"Content")</f>
        <v>Content</v>
      </c>
      <c r="F12" s="57" t="str">
        <f>IFERROR(__xludf.DUMMYFUNCTION("""COMPUTED_VALUE"""),"Fail")</f>
        <v>Fail</v>
      </c>
      <c r="G12" s="58" t="str">
        <f>IFERROR(__xludf.DUMMYFUNCTION("""COMPUTED_VALUE"""),"Form submission buttons vary between Submit and Sign up now/Sign up for webinar")</f>
        <v>Form submission buttons vary between Submit and Sign up now/Sign up for webinar</v>
      </c>
    </row>
    <row r="13" ht="45.0" customHeight="1">
      <c r="A13" s="57" t="str">
        <f>IFERROR(__xludf.DUMMYFUNCTION("""COMPUTED_VALUE"""),"Section 1 — Content")</f>
        <v>Section 1 — Content</v>
      </c>
      <c r="B13" s="57" t="str">
        <f>IFERROR(__xludf.DUMMYFUNCTION("""COMPUTED_VALUE"""),"3.1.5")</f>
        <v>3.1.5</v>
      </c>
      <c r="C13" s="57" t="str">
        <f>IFERROR(__xludf.DUMMYFUNCTION("""COMPUTED_VALUE"""),"AAA")</f>
        <v>AAA</v>
      </c>
      <c r="D13" s="57" t="str">
        <f>IFERROR(__xludf.DUMMYFUNCTION("""COMPUTED_VALUE"""),"Content is written at an appropriate reading level (see webfx.com/tools/read-able/)")</f>
        <v>Content is written at an appropriate reading level (see webfx.com/tools/read-able/)</v>
      </c>
      <c r="E13" s="57" t="str">
        <f>IFERROR(__xludf.DUMMYFUNCTION("""COMPUTED_VALUE"""),"Content")</f>
        <v>Content</v>
      </c>
      <c r="F13" s="57" t="str">
        <f>IFERROR(__xludf.DUMMYFUNCTION("""COMPUTED_VALUE"""),"Fail")</f>
        <v>Fail</v>
      </c>
      <c r="G13" s="58" t="str">
        <f>IFERROR(__xludf.DUMMYFUNCTION("""COMPUTED_VALUE"""),"Score of 40.5")</f>
        <v>Score of 40.5</v>
      </c>
    </row>
    <row r="14" ht="45.0" customHeight="1">
      <c r="A14" s="57" t="str">
        <f>IFERROR(__xludf.DUMMYFUNCTION("""COMPUTED_VALUE"""),"Section 2 — Design")</f>
        <v>Section 2 — Design</v>
      </c>
      <c r="B14" s="57" t="str">
        <f>IFERROR(__xludf.DUMMYFUNCTION("""COMPUTED_VALUE"""),"2.4.7")</f>
        <v>2.4.7</v>
      </c>
      <c r="C14" s="57" t="str">
        <f>IFERROR(__xludf.DUMMYFUNCTION("""COMPUTED_VALUE"""),"AA")</f>
        <v>AA</v>
      </c>
      <c r="D14" s="57" t="str">
        <f>IFERROR(__xludf.DUMMYFUNCTION("""COMPUTED_VALUE"""),"Keyboard focus location is visually obvious at all times")</f>
        <v>Keyboard focus location is visually obvious at all times</v>
      </c>
      <c r="E14" s="57" t="str">
        <f>IFERROR(__xludf.DUMMYFUNCTION("""COMPUTED_VALUE"""),"Dev")</f>
        <v>Dev</v>
      </c>
      <c r="F14" s="57" t="str">
        <f>IFERROR(__xludf.DUMMYFUNCTION("""COMPUTED_VALUE"""),"Fail")</f>
        <v>Fail</v>
      </c>
      <c r="G14" s="58" t="str">
        <f>IFERROR(__xludf.DUMMYFUNCTION("""COMPUTED_VALUE"""),"Keyboard focus not visible on video player (client story pages), webinar filter, multiple column fields on donate form, radio buttons on sign up form/webinar forms")</f>
        <v>Keyboard focus not visible on video player (client story pages), webinar filter, multiple column fields on donate form, radio buttons on sign up form/webinar forms</v>
      </c>
    </row>
    <row r="15" ht="45.0" customHeight="1">
      <c r="A15" s="57" t="str">
        <f>IFERROR(__xludf.DUMMYFUNCTION("""COMPUTED_VALUE"""),"Section 2 — Design")</f>
        <v>Section 2 — Design</v>
      </c>
      <c r="B15" s="57" t="str">
        <f>IFERROR(__xludf.DUMMYFUNCTION("""COMPUTED_VALUE"""),"2.4.11")</f>
        <v>2.4.11</v>
      </c>
      <c r="C15" s="57" t="str">
        <f>IFERROR(__xludf.DUMMYFUNCTION("""COMPUTED_VALUE"""),"AA")</f>
        <v>AA</v>
      </c>
      <c r="D15" s="57" t="str">
        <f>IFERROR(__xludf.DUMMYFUNCTION("""COMPUTED_VALUE"""),"Focused component is not hidden or obscured by other content")</f>
        <v>Focused component is not hidden or obscured by other content</v>
      </c>
      <c r="E15" s="57" t="str">
        <f>IFERROR(__xludf.DUMMYFUNCTION("""COMPUTED_VALUE"""),"Dev")</f>
        <v>Dev</v>
      </c>
      <c r="F15" s="57" t="str">
        <f>IFERROR(__xludf.DUMMYFUNCTION("""COMPUTED_VALUE"""),"Fail")</f>
        <v>Fail</v>
      </c>
      <c r="G15" s="58" t="str">
        <f>IFERROR(__xludf.DUMMYFUNCTION("""COMPUTED_VALUE"""),"Focus indicator is not visible on elements within a dropdown that is not expanded (guide pages)
Focus indicator slightly obscured on homepage support dropdown")</f>
        <v>Focus indicator is not visible on elements within a dropdown that is not expanded (guide pages)
Focus indicator slightly obscured on homepage support dropdown</v>
      </c>
    </row>
    <row r="16" ht="45.0" customHeight="1">
      <c r="A16" s="57" t="str">
        <f>IFERROR(__xludf.DUMMYFUNCTION("""COMPUTED_VALUE"""),"Section 2 — Design")</f>
        <v>Section 2 — Design</v>
      </c>
      <c r="B16" s="57" t="str">
        <f>IFERROR(__xludf.DUMMYFUNCTION("""COMPUTED_VALUE"""),"2.4.13")</f>
        <v>2.4.13</v>
      </c>
      <c r="C16" s="57" t="str">
        <f>IFERROR(__xludf.DUMMYFUNCTION("""COMPUTED_VALUE"""),"AAA")</f>
        <v>AAA</v>
      </c>
      <c r="D16" s="57" t="str">
        <f>IFERROR(__xludf.DUMMYFUNCTION("""COMPUTED_VALUE"""),"Focus indicator has sufficient thickness and colour contrast")</f>
        <v>Focus indicator has sufficient thickness and colour contrast</v>
      </c>
      <c r="E16" s="57" t="str">
        <f>IFERROR(__xludf.DUMMYFUNCTION("""COMPUTED_VALUE"""),"Dev / Designer")</f>
        <v>Dev / Designer</v>
      </c>
      <c r="F16" s="57" t="str">
        <f>IFERROR(__xludf.DUMMYFUNCTION("""COMPUTED_VALUE"""),"Fail")</f>
        <v>Fail</v>
      </c>
      <c r="G16" s="58" t="str">
        <f>IFERROR(__xludf.DUMMYFUNCTION("""COMPUTED_VALUE"""),"Focus indicator is 1px, should be minimum 2px. Blue focus indicator does not meet colour contrast against purple, but extra white outline appears on this background.")</f>
        <v>Focus indicator is 1px, should be minimum 2px. Blue focus indicator does not meet colour contrast against purple, but extra white outline appears on this background.</v>
      </c>
    </row>
    <row r="17" ht="45.0" customHeight="1">
      <c r="A17" s="57" t="str">
        <f>IFERROR(__xludf.DUMMYFUNCTION("""COMPUTED_VALUE"""),"Section 2 — Design")</f>
        <v>Section 2 — Design</v>
      </c>
      <c r="B17" s="57" t="str">
        <f>IFERROR(__xludf.DUMMYFUNCTION("""COMPUTED_VALUE"""),"2.5.5")</f>
        <v>2.5.5</v>
      </c>
      <c r="C17" s="57" t="str">
        <f>IFERROR(__xludf.DUMMYFUNCTION("""COMPUTED_VALUE"""),"AAA")</f>
        <v>AAA</v>
      </c>
      <c r="D17" s="57" t="str">
        <f>IFERROR(__xludf.DUMMYFUNCTION("""COMPUTED_VALUE"""),"Touch targets are at least 44×44px")</f>
        <v>Touch targets are at least 44×44px</v>
      </c>
      <c r="E17" s="57" t="str">
        <f>IFERROR(__xludf.DUMMYFUNCTION("""COMPUTED_VALUE"""),"Designer")</f>
        <v>Designer</v>
      </c>
      <c r="F17" s="57" t="str">
        <f>IFERROR(__xludf.DUMMYFUNCTION("""COMPUTED_VALUE"""),"Fail")</f>
        <v>Fail</v>
      </c>
      <c r="G17" s="58" t="str">
        <f>IFERROR(__xludf.DUMMYFUNCTION("""COMPUTED_VALUE"""),"Carousel buttons, social footer icons 40x40px, buttons 42px tall")</f>
        <v>Carousel buttons, social footer icons 40x40px, buttons 42px tall</v>
      </c>
    </row>
    <row r="18" ht="45.0" customHeight="1">
      <c r="A18" s="57" t="str">
        <f>IFERROR(__xludf.DUMMYFUNCTION("""COMPUTED_VALUE"""),"Section 3 — Development")</f>
        <v>Section 3 — Development</v>
      </c>
      <c r="B18" s="57" t="str">
        <f>IFERROR(__xludf.DUMMYFUNCTION("""COMPUTED_VALUE"""),"1.4.13")</f>
        <v>1.4.13</v>
      </c>
      <c r="C18" s="57" t="str">
        <f>IFERROR(__xludf.DUMMYFUNCTION("""COMPUTED_VALUE"""),"AA")</f>
        <v>AA</v>
      </c>
      <c r="D18" s="57" t="str">
        <f>IFERROR(__xludf.DUMMYFUNCTION("""COMPUTED_VALUE"""),"Popovers on hover/focus can be dismissed via keyboard without moving focus")</f>
        <v>Popovers on hover/focus can be dismissed via keyboard without moving focus</v>
      </c>
      <c r="E18" s="57" t="str">
        <f>IFERROR(__xludf.DUMMYFUNCTION("""COMPUTED_VALUE"""),"Developer")</f>
        <v>Developer</v>
      </c>
      <c r="F18" s="57" t="str">
        <f>IFERROR(__xludf.DUMMYFUNCTION("""COMPUTED_VALUE"""),"Fail")</f>
        <v>Fail</v>
      </c>
      <c r="G18" s="58" t="str">
        <f>IFERROR(__xludf.DUMMYFUNCTION("""COMPUTED_VALUE"""),"Popover is dimissed with tab not esc. Cannot tab through elements within the popover as tab triggers it to close")</f>
        <v>Popover is dimissed with tab not esc. Cannot tab through elements within the popover as tab triggers it to close</v>
      </c>
    </row>
    <row r="19" ht="45.0" customHeight="1">
      <c r="A19" s="57" t="str">
        <f>IFERROR(__xludf.DUMMYFUNCTION("""COMPUTED_VALUE"""),"Section 3 — Development")</f>
        <v>Section 3 — Development</v>
      </c>
      <c r="B19" s="57" t="str">
        <f>IFERROR(__xludf.DUMMYFUNCTION("""COMPUTED_VALUE"""),"2.1.1")</f>
        <v>2.1.1</v>
      </c>
      <c r="C19" s="57" t="str">
        <f>IFERROR(__xludf.DUMMYFUNCTION("""COMPUTED_VALUE"""),"A")</f>
        <v>A</v>
      </c>
      <c r="D19" s="57" t="str">
        <f>IFERROR(__xludf.DUMMYFUNCTION("""COMPUTED_VALUE"""),"All functionality is operable using the keyboard alone")</f>
        <v>All functionality is operable using the keyboard alone</v>
      </c>
      <c r="E19" s="57" t="str">
        <f>IFERROR(__xludf.DUMMYFUNCTION("""COMPUTED_VALUE"""),"Developer")</f>
        <v>Developer</v>
      </c>
      <c r="F19" s="57" t="str">
        <f>IFERROR(__xludf.DUMMYFUNCTION("""COMPUTED_VALUE"""),"Fail")</f>
        <v>Fail</v>
      </c>
      <c r="G19" s="58" t="str">
        <f>IFERROR(__xludf.DUMMYFUNCTION("""COMPUTED_VALUE"""),"Cannot tab elements within nav popover")</f>
        <v>Cannot tab elements within nav popover</v>
      </c>
    </row>
    <row r="20" ht="45.0" customHeight="1">
      <c r="A20" s="57" t="str">
        <f>IFERROR(__xludf.DUMMYFUNCTION("""COMPUTED_VALUE"""),"Section 3 — Development")</f>
        <v>Section 3 — Development</v>
      </c>
      <c r="B20" s="57" t="str">
        <f>IFERROR(__xludf.DUMMYFUNCTION("""COMPUTED_VALUE"""),"2.3.3")</f>
        <v>2.3.3</v>
      </c>
      <c r="C20" s="57" t="str">
        <f>IFERROR(__xludf.DUMMYFUNCTION("""COMPUTED_VALUE"""),"AAA")</f>
        <v>AAA</v>
      </c>
      <c r="D20" s="57" t="str">
        <f>IFERROR(__xludf.DUMMYFUNCTION("""COMPUTED_VALUE"""),"Animations respect the prefers-reduced-motion OS/browser setting")</f>
        <v>Animations respect the prefers-reduced-motion OS/browser setting</v>
      </c>
      <c r="E20" s="57" t="str">
        <f>IFERROR(__xludf.DUMMYFUNCTION("""COMPUTED_VALUE"""),"Developer")</f>
        <v>Developer</v>
      </c>
      <c r="F20" s="57" t="str">
        <f>IFERROR(__xludf.DUMMYFUNCTION("""COMPUTED_VALUE"""),"Fail")</f>
        <v>Fail</v>
      </c>
      <c r="G20" s="58" t="str">
        <f>IFERROR(__xludf.DUMMYFUNCTION("""COMPUTED_VALUE"""),"Animations with substantial movement should be disabled on interaction. Examples include the circular icons on the homepage and the slideup animation associated with the menu on desktop.")</f>
        <v>Animations with substantial movement should be disabled on interaction. Examples include the circular icons on the homepage and the slideup animation associated with the menu on desktop.</v>
      </c>
    </row>
    <row r="21" ht="45.0" customHeight="1">
      <c r="A21" s="57" t="str">
        <f>IFERROR(__xludf.DUMMYFUNCTION("""COMPUTED_VALUE"""),"Section 3 — Development")</f>
        <v>Section 3 — Development</v>
      </c>
      <c r="B21" s="57" t="str">
        <f>IFERROR(__xludf.DUMMYFUNCTION("""COMPUTED_VALUE"""),"4.1.1")</f>
        <v>4.1.1</v>
      </c>
      <c r="C21" s="57" t="str">
        <f>IFERROR(__xludf.DUMMYFUNCTION("""COMPUTED_VALUE"""),"A")</f>
        <v>A</v>
      </c>
      <c r="D21" s="57" t="str">
        <f>IFERROR(__xludf.DUMMYFUNCTION("""COMPUTED_VALUE"""),"HTML validates with no parsing errors that affect accessibility")</f>
        <v>HTML validates with no parsing errors that affect accessibility</v>
      </c>
      <c r="E21" s="57" t="str">
        <f>IFERROR(__xludf.DUMMYFUNCTION("""COMPUTED_VALUE"""),"Developer")</f>
        <v>Developer</v>
      </c>
      <c r="F21" s="57" t="str">
        <f>IFERROR(__xludf.DUMMYFUNCTION("""COMPUTED_VALUE"""),"Fail")</f>
        <v>Fail</v>
      </c>
      <c r="G21" s="58" t="str">
        <f>IFERROR(__xludf.DUMMYFUNCTION("""COMPUTED_VALUE"""),"Donation form fails validation on multiple empty heading tags and autocomplete tags being added to hidden elements. Report.")</f>
        <v>Donation form fails validation on multiple empty heading tags and autocomplete tags being added to hidden elements. Report.</v>
      </c>
    </row>
    <row r="22" ht="45.0" customHeight="1">
      <c r="A22" s="57" t="str">
        <f>IFERROR(__xludf.DUMMYFUNCTION("""COMPUTED_VALUE"""),"Section 3 — Development")</f>
        <v>Section 3 — Development</v>
      </c>
      <c r="B22" s="57" t="str">
        <f>IFERROR(__xludf.DUMMYFUNCTION("""COMPUTED_VALUE"""),"4.1.3")</f>
        <v>4.1.3</v>
      </c>
      <c r="C22" s="57" t="str">
        <f>IFERROR(__xludf.DUMMYFUNCTION("""COMPUTED_VALUE"""),"AA")</f>
        <v>AA</v>
      </c>
      <c r="D22" s="57" t="str">
        <f>IFERROR(__xludf.DUMMYFUNCTION("""COMPUTED_VALUE"""),"Status messages (e.g. alerts, toasts) are announced by screen readers")</f>
        <v>Status messages (e.g. alerts, toasts) are announced by screen readers</v>
      </c>
      <c r="E22" s="57" t="str">
        <f>IFERROR(__xludf.DUMMYFUNCTION("""COMPUTED_VALUE"""),"Developer")</f>
        <v>Developer</v>
      </c>
      <c r="F22" s="57" t="str">
        <f>IFERROR(__xludf.DUMMYFUNCTION("""COMPUTED_VALUE"""),"Fail")</f>
        <v>Fail</v>
      </c>
      <c r="G22" s="58" t="str">
        <f>IFERROR(__xludf.DUMMYFUNCTION("""COMPUTED_VALUE"""),"Error message on donate form announced as ""undefined"" after failed form submission")</f>
        <v>Error message on donate form announced as "undefined" after failed form submission</v>
      </c>
    </row>
    <row r="23" ht="45.0" customHeight="1">
      <c r="A23" s="57" t="str">
        <f>IFERROR(__xludf.DUMMYFUNCTION("""COMPUTED_VALUE"""),"Section 4 — QA: Keyboard")</f>
        <v>Section 4 — QA: Keyboard</v>
      </c>
      <c r="B23" s="57" t="str">
        <f>IFERROR(__xludf.DUMMYFUNCTION("""COMPUTED_VALUE"""),"2.1.1")</f>
        <v>2.1.1</v>
      </c>
      <c r="C23" s="57" t="str">
        <f>IFERROR(__xludf.DUMMYFUNCTION("""COMPUTED_VALUE"""),"A")</f>
        <v>A</v>
      </c>
      <c r="D23" s="57" t="str">
        <f>IFERROR(__xludf.DUMMYFUNCTION("""COMPUTED_VALUE"""),"Tab through all interactive elements — nothing is skipped")</f>
        <v>Tab through all interactive elements — nothing is skipped</v>
      </c>
      <c r="E23" s="57" t="str">
        <f>IFERROR(__xludf.DUMMYFUNCTION("""COMPUTED_VALUE"""),"QA / Developer")</f>
        <v>QA / Developer</v>
      </c>
      <c r="F23" s="57" t="str">
        <f>IFERROR(__xludf.DUMMYFUNCTION("""COMPUTED_VALUE"""),"Fail")</f>
        <v>Fail</v>
      </c>
      <c r="G23" s="58" t="str">
        <f>IFERROR(__xludf.DUMMYFUNCTION("""COMPUTED_VALUE"""),"Sub navigation on desktop is difficult to tab through, list items are missed.")</f>
        <v>Sub navigation on desktop is difficult to tab through, list items are missed.</v>
      </c>
    </row>
    <row r="24" ht="45.0" customHeight="1">
      <c r="A24" s="57" t="str">
        <f>IFERROR(__xludf.DUMMYFUNCTION("""COMPUTED_VALUE"""),"Section 4 — QA: Keyboard")</f>
        <v>Section 4 — QA: Keyboard</v>
      </c>
      <c r="B24" s="57" t="str">
        <f>IFERROR(__xludf.DUMMYFUNCTION("""COMPUTED_VALUE"""),"2.1.1")</f>
        <v>2.1.1</v>
      </c>
      <c r="C24" s="57" t="str">
        <f>IFERROR(__xludf.DUMMYFUNCTION("""COMPUTED_VALUE"""),"A")</f>
        <v>A</v>
      </c>
      <c r="D24" s="57" t="str">
        <f>IFERROR(__xludf.DUMMYFUNCTION("""COMPUTED_VALUE"""),"All buttons, links, and controls can be activated with Enter or Space")</f>
        <v>All buttons, links, and controls can be activated with Enter or Space</v>
      </c>
      <c r="E24" s="57" t="str">
        <f>IFERROR(__xludf.DUMMYFUNCTION("""COMPUTED_VALUE"""),"QA / Developer")</f>
        <v>QA / Developer</v>
      </c>
      <c r="F24" s="57" t="str">
        <f>IFERROR(__xludf.DUMMYFUNCTION("""COMPUTED_VALUE"""),"Fail")</f>
        <v>Fail</v>
      </c>
      <c r="G24" s="58" t="str">
        <f>IFERROR(__xludf.DUMMYFUNCTION("""COMPUTED_VALUE"""),"Video play button does not activate")</f>
        <v>Video play button does not activate</v>
      </c>
    </row>
    <row r="25" ht="45.0" customHeight="1">
      <c r="A25" s="57" t="str">
        <f>IFERROR(__xludf.DUMMYFUNCTION("""COMPUTED_VALUE"""),"Section 4 — QA: Keyboard")</f>
        <v>Section 4 — QA: Keyboard</v>
      </c>
      <c r="B25" s="57" t="str">
        <f>IFERROR(__xludf.DUMMYFUNCTION("""COMPUTED_VALUE"""),"2.4.7")</f>
        <v>2.4.7</v>
      </c>
      <c r="C25" s="57" t="str">
        <f>IFERROR(__xludf.DUMMYFUNCTION("""COMPUTED_VALUE"""),"AA")</f>
        <v>AA</v>
      </c>
      <c r="D25" s="57" t="str">
        <f>IFERROR(__xludf.DUMMYFUNCTION("""COMPUTED_VALUE"""),"Focus indicator is always visible (check all states: default, hover, active)")</f>
        <v>Focus indicator is always visible (check all states: default, hover, active)</v>
      </c>
      <c r="E25" s="57" t="str">
        <f>IFERROR(__xludf.DUMMYFUNCTION("""COMPUTED_VALUE"""),"QA / Designer")</f>
        <v>QA / Designer</v>
      </c>
      <c r="F25" s="57" t="str">
        <f>IFERROR(__xludf.DUMMYFUNCTION("""COMPUTED_VALUE"""),"Fail")</f>
        <v>Fail</v>
      </c>
      <c r="G25" s="58" t="str">
        <f>IFERROR(__xludf.DUMMYFUNCTION("""COMPUTED_VALUE"""),"Keyboard focus not visible on video player (client story pages), webinar filter, multiple column fields on donate form, radio buttons on sign up form/webinar forms")</f>
        <v>Keyboard focus not visible on video player (client story pages), webinar filter, multiple column fields on donate form, radio buttons on sign up form/webinar forms</v>
      </c>
    </row>
    <row r="26" ht="45.0" customHeight="1">
      <c r="A26" s="57" t="str">
        <f>IFERROR(__xludf.DUMMYFUNCTION("""COMPUTED_VALUE"""),"Section 4 — QA: Keyboard")</f>
        <v>Section 4 — QA: Keyboard</v>
      </c>
      <c r="B26" s="57" t="str">
        <f>IFERROR(__xludf.DUMMYFUNCTION("""COMPUTED_VALUE"""),"1.4.13")</f>
        <v>1.4.13</v>
      </c>
      <c r="C26" s="57" t="str">
        <f>IFERROR(__xludf.DUMMYFUNCTION("""COMPUTED_VALUE"""),"AA")</f>
        <v>AA</v>
      </c>
      <c r="D26" s="57" t="str">
        <f>IFERROR(__xludf.DUMMYFUNCTION("""COMPUTED_VALUE"""),"Content on hover/focus (tooltips, dropdowns) can be dismissed with Esc")</f>
        <v>Content on hover/focus (tooltips, dropdowns) can be dismissed with Esc</v>
      </c>
      <c r="E26" s="57" t="str">
        <f>IFERROR(__xludf.DUMMYFUNCTION("""COMPUTED_VALUE"""),"QA / Developer")</f>
        <v>QA / Developer</v>
      </c>
      <c r="F26" s="57" t="str">
        <f>IFERROR(__xludf.DUMMYFUNCTION("""COMPUTED_VALUE"""),"Fail")</f>
        <v>Fail</v>
      </c>
      <c r="G26" s="58" t="str">
        <f>IFERROR(__xludf.DUMMYFUNCTION("""COMPUTED_VALUE"""),"Popover is dimissed with tab not esc. Cannot tab through elements within the popover as tab triggers it to close")</f>
        <v>Popover is dimissed with tab not esc. Cannot tab through elements within the popover as tab triggers it to close</v>
      </c>
    </row>
    <row r="27" ht="45.0" customHeight="1">
      <c r="A27" s="57" t="str">
        <f>IFERROR(__xludf.DUMMYFUNCTION("""COMPUTED_VALUE"""),"Section 4 — QA: Keyboard")</f>
        <v>Section 4 — QA: Keyboard</v>
      </c>
      <c r="B27" s="57" t="str">
        <f>IFERROR(__xludf.DUMMYFUNCTION("""COMPUTED_VALUE"""),"—")</f>
        <v>—</v>
      </c>
      <c r="C27" s="57" t="str">
        <f>IFERROR(__xludf.DUMMYFUNCTION("""COMPUTED_VALUE"""),"BP")</f>
        <v>BP</v>
      </c>
      <c r="D27" s="57" t="str">
        <f>IFERROR(__xludf.DUMMYFUNCTION("""COMPUTED_VALUE"""),"Modal dialogs trap focus correctly and return focus on close")</f>
        <v>Modal dialogs trap focus correctly and return focus on close</v>
      </c>
      <c r="E27" s="57" t="str">
        <f>IFERROR(__xludf.DUMMYFUNCTION("""COMPUTED_VALUE"""),"QA / Developer")</f>
        <v>QA / Developer</v>
      </c>
      <c r="F27" s="57" t="str">
        <f>IFERROR(__xludf.DUMMYFUNCTION("""COMPUTED_VALUE"""),"Fail")</f>
        <v>Fail</v>
      </c>
      <c r="G27" s="58" t="str">
        <f>IFERROR(__xludf.DUMMYFUNCTION("""COMPUTED_VALUE"""),"Nav popover doesn't trap focus, cannot tab through elements within the popover as tab triggers it to close and tab onto next nav item")</f>
        <v>Nav popover doesn't trap focus, cannot tab through elements within the popover as tab triggers it to close and tab onto next nav item</v>
      </c>
    </row>
    <row r="28" ht="45.0" customHeight="1">
      <c r="A28" s="57" t="str">
        <f>IFERROR(__xludf.DUMMYFUNCTION("""COMPUTED_VALUE"""),"Section 5 — QA: Forms &amp; Input")</f>
        <v>Section 5 — QA: Forms &amp; Input</v>
      </c>
      <c r="B28" s="57" t="str">
        <f>IFERROR(__xludf.DUMMYFUNCTION("""COMPUTED_VALUE"""),"—")</f>
        <v>—</v>
      </c>
      <c r="C28" s="57" t="str">
        <f>IFERROR(__xludf.DUMMYFUNCTION("""COMPUTED_VALUE"""),"BP")</f>
        <v>BP</v>
      </c>
      <c r="D28" s="57" t="str">
        <f>IFERROR(__xludf.DUMMYFUNCTION("""COMPUTED_VALUE"""),"Success confirmation is announced to screen readers via ARIA live region")</f>
        <v>Success confirmation is announced to screen readers via ARIA live region</v>
      </c>
      <c r="E28" s="57" t="str">
        <f>IFERROR(__xludf.DUMMYFUNCTION("""COMPUTED_VALUE"""),"QA / Developer")</f>
        <v>QA / Developer</v>
      </c>
      <c r="F28" s="57" t="str">
        <f>IFERROR(__xludf.DUMMYFUNCTION("""COMPUTED_VALUE"""),"Fail")</f>
        <v>Fail</v>
      </c>
      <c r="G28" s="58" t="str">
        <f>IFERROR(__xludf.DUMMYFUNCTION("""COMPUTED_VALUE"""),"Third party forms do not make use or ARIA live regions")</f>
        <v>Third party forms do not make use or ARIA live regions</v>
      </c>
    </row>
    <row r="29" ht="45.0" customHeight="1">
      <c r="A29" s="57" t="str">
        <f>IFERROR(__xludf.DUMMYFUNCTION("""COMPUTED_VALUE"""),"Section 6 — QA: Colour &amp; Contrast")</f>
        <v>Section 6 — QA: Colour &amp; Contrast</v>
      </c>
      <c r="B29" s="57" t="str">
        <f>IFERROR(__xludf.DUMMYFUNCTION("""COMPUTED_VALUE"""),"—")</f>
        <v>—</v>
      </c>
      <c r="C29" s="57" t="str">
        <f>IFERROR(__xludf.DUMMYFUNCTION("""COMPUTED_VALUE"""),"—")</f>
        <v>—</v>
      </c>
      <c r="D29" s="57" t="str">
        <f>IFERROR(__xludf.DUMMYFUNCTION("""COMPUTED_VALUE"""),"No issues found in this section")</f>
        <v>No issues found in this section</v>
      </c>
      <c r="E29" s="57" t="str">
        <f>IFERROR(__xludf.DUMMYFUNCTION("""COMPUTED_VALUE"""),"")</f>
        <v/>
      </c>
      <c r="F29" s="57" t="str">
        <f>IFERROR(__xludf.DUMMYFUNCTION("""COMPUTED_VALUE"""),"")</f>
        <v/>
      </c>
      <c r="G29" s="58" t="str">
        <f>IFERROR(__xludf.DUMMYFUNCTION("""COMPUTED_VALUE"""),"")</f>
        <v/>
      </c>
    </row>
    <row r="30" ht="45.0" customHeight="1">
      <c r="A30" s="57" t="str">
        <f>IFERROR(__xludf.DUMMYFUNCTION("""COMPUTED_VALUE"""),"Section 7 — QA: Screen Reader")</f>
        <v>Section 7 — QA: Screen Reader</v>
      </c>
      <c r="B30" s="57" t="str">
        <f>IFERROR(__xludf.DUMMYFUNCTION("""COMPUTED_VALUE"""),"1.1.1")</f>
        <v>1.1.1</v>
      </c>
      <c r="C30" s="57" t="str">
        <f>IFERROR(__xludf.DUMMYFUNCTION("""COMPUTED_VALUE"""),"A")</f>
        <v>A</v>
      </c>
      <c r="D30" s="57" t="str">
        <f>IFERROR(__xludf.DUMMYFUNCTION("""COMPUTED_VALUE"""),"All meaningful images have descriptive alt text; decorative images have alt=""""")</f>
        <v>All meaningful images have descriptive alt text; decorative images have alt=""</v>
      </c>
      <c r="E30" s="57" t="str">
        <f>IFERROR(__xludf.DUMMYFUNCTION("""COMPUTED_VALUE"""),"QA / Content")</f>
        <v>QA / Content</v>
      </c>
      <c r="F30" s="57" t="str">
        <f>IFERROR(__xludf.DUMMYFUNCTION("""COMPUTED_VALUE"""),"Fail")</f>
        <v>Fail</v>
      </c>
      <c r="G30" s="58"/>
    </row>
    <row r="31" ht="45.0" customHeight="1">
      <c r="A31" s="57" t="str">
        <f>IFERROR(__xludf.DUMMYFUNCTION("""COMPUTED_VALUE"""),"Section 7 — QA: Screen Reader")</f>
        <v>Section 7 — QA: Screen Reader</v>
      </c>
      <c r="B31" s="57" t="str">
        <f>IFERROR(__xludf.DUMMYFUNCTION("""COMPUTED_VALUE"""),"2.4.4")</f>
        <v>2.4.4</v>
      </c>
      <c r="C31" s="57" t="str">
        <f>IFERROR(__xludf.DUMMYFUNCTION("""COMPUTED_VALUE"""),"A")</f>
        <v>A</v>
      </c>
      <c r="D31" s="57" t="str">
        <f>IFERROR(__xludf.DUMMYFUNCTION("""COMPUTED_VALUE"""),"All links and buttons have descriptive accessible names (not 'click here')")</f>
        <v>All links and buttons have descriptive accessible names (not 'click here')</v>
      </c>
      <c r="E31" s="57" t="str">
        <f>IFERROR(__xludf.DUMMYFUNCTION("""COMPUTED_VALUE"""),"QA / Content")</f>
        <v>QA / Content</v>
      </c>
      <c r="F31" s="57" t="str">
        <f>IFERROR(__xludf.DUMMYFUNCTION("""COMPUTED_VALUE"""),"Fail")</f>
        <v>Fail</v>
      </c>
      <c r="G31" s="58"/>
    </row>
    <row r="32" ht="45.0" customHeight="1">
      <c r="A32" s="57" t="str">
        <f>IFERROR(__xludf.DUMMYFUNCTION("""COMPUTED_VALUE"""),"Section 7 — QA: Screen Reader")</f>
        <v>Section 7 — QA: Screen Reader</v>
      </c>
      <c r="B32" s="57" t="str">
        <f>IFERROR(__xludf.DUMMYFUNCTION("""COMPUTED_VALUE"""),"4.1.3")</f>
        <v>4.1.3</v>
      </c>
      <c r="C32" s="57" t="str">
        <f>IFERROR(__xludf.DUMMYFUNCTION("""COMPUTED_VALUE"""),"AA")</f>
        <v>AA</v>
      </c>
      <c r="D32" s="57" t="str">
        <f>IFERROR(__xludf.DUMMYFUNCTION("""COMPUTED_VALUE"""),"Dynamic content updates (alerts, validation, status) are announced")</f>
        <v>Dynamic content updates (alerts, validation, status) are announced</v>
      </c>
      <c r="E32" s="57" t="str">
        <f>IFERROR(__xludf.DUMMYFUNCTION("""COMPUTED_VALUE"""),"QA / Developer")</f>
        <v>QA / Developer</v>
      </c>
      <c r="F32" s="57" t="str">
        <f>IFERROR(__xludf.DUMMYFUNCTION("""COMPUTED_VALUE"""),"Fail")</f>
        <v>Fail</v>
      </c>
      <c r="G32" s="58" t="str">
        <f>IFERROR(__xludf.DUMMYFUNCTION("""COMPUTED_VALUE"""),"Error message on donate form announced as ""undefined"" after failed form submission")</f>
        <v>Error message on donate form announced as "undefined" after failed form submission</v>
      </c>
    </row>
    <row r="33" ht="45.0" customHeight="1">
      <c r="A33" s="57" t="str">
        <f>IFERROR(__xludf.DUMMYFUNCTION("""COMPUTED_VALUE"""),"Section 8 — QA: Media")</f>
        <v>Section 8 — QA: Media</v>
      </c>
      <c r="B33" s="57" t="str">
        <f>IFERROR(__xludf.DUMMYFUNCTION("""COMPUTED_VALUE"""),"1.2.2")</f>
        <v>1.2.2</v>
      </c>
      <c r="C33" s="57" t="str">
        <f>IFERROR(__xludf.DUMMYFUNCTION("""COMPUTED_VALUE"""),"A")</f>
        <v>A</v>
      </c>
      <c r="D33" s="57" t="str">
        <f>IFERROR(__xludf.DUMMYFUNCTION("""COMPUTED_VALUE"""),"Pre-recorded video with audio has accurate captions")</f>
        <v>Pre-recorded video with audio has accurate captions</v>
      </c>
      <c r="E33" s="57" t="str">
        <f>IFERROR(__xludf.DUMMYFUNCTION("""COMPUTED_VALUE"""),"Content")</f>
        <v>Content</v>
      </c>
      <c r="F33" s="57" t="str">
        <f>IFERROR(__xludf.DUMMYFUNCTION("""COMPUTED_VALUE"""),"Fail")</f>
        <v>Fail</v>
      </c>
      <c r="G33" s="58" t="str">
        <f>IFERROR(__xludf.DUMMYFUNCTION("""COMPUTED_VALUE"""),"Client stories videos missing captions")</f>
        <v>Client stories videos missing captions</v>
      </c>
    </row>
    <row r="34" ht="45.0" customHeight="1">
      <c r="A34" s="57" t="str">
        <f>IFERROR(__xludf.DUMMYFUNCTION("""COMPUTED_VALUE"""),"Section 8 — QA: Media")</f>
        <v>Section 8 — QA: Media</v>
      </c>
      <c r="B34" s="57" t="str">
        <f>IFERROR(__xludf.DUMMYFUNCTION("""COMPUTED_VALUE"""),"1.2.3")</f>
        <v>1.2.3</v>
      </c>
      <c r="C34" s="57" t="str">
        <f>IFERROR(__xludf.DUMMYFUNCTION("""COMPUTED_VALUE"""),"A")</f>
        <v>A</v>
      </c>
      <c r="D34" s="57" t="str">
        <f>IFERROR(__xludf.DUMMYFUNCTION("""COMPUTED_VALUE"""),"Pre-recorded video has an audio description or full text alternative")</f>
        <v>Pre-recorded video has an audio description or full text alternative</v>
      </c>
      <c r="E34" s="57" t="str">
        <f>IFERROR(__xludf.DUMMYFUNCTION("""COMPUTED_VALUE"""),"Content")</f>
        <v>Content</v>
      </c>
      <c r="F34" s="57" t="str">
        <f>IFERROR(__xludf.DUMMYFUNCTION("""COMPUTED_VALUE"""),"Fail")</f>
        <v>Fail</v>
      </c>
      <c r="G34" s="58" t="str">
        <f>IFERROR(__xludf.DUMMYFUNCTION("""COMPUTED_VALUE"""),"Client stories videos missing audio description")</f>
        <v>Client stories videos missing audio description</v>
      </c>
    </row>
    <row r="35" ht="45.0" customHeight="1">
      <c r="A35" s="57" t="str">
        <f>IFERROR(__xludf.DUMMYFUNCTION("""COMPUTED_VALUE"""),"Section 8 — QA: Media")</f>
        <v>Section 8 — QA: Media</v>
      </c>
      <c r="B35" s="57" t="str">
        <f>IFERROR(__xludf.DUMMYFUNCTION("""COMPUTED_VALUE"""),"1.2.5")</f>
        <v>1.2.5</v>
      </c>
      <c r="C35" s="57" t="str">
        <f>IFERROR(__xludf.DUMMYFUNCTION("""COMPUTED_VALUE"""),"AA")</f>
        <v>AA</v>
      </c>
      <c r="D35" s="57" t="str">
        <f>IFERROR(__xludf.DUMMYFUNCTION("""COMPUTED_VALUE"""),"Pre-recorded video has a synchronised audio description track")</f>
        <v>Pre-recorded video has a synchronised audio description track</v>
      </c>
      <c r="E35" s="57" t="str">
        <f>IFERROR(__xludf.DUMMYFUNCTION("""COMPUTED_VALUE"""),"Content")</f>
        <v>Content</v>
      </c>
      <c r="F35" s="57" t="str">
        <f>IFERROR(__xludf.DUMMYFUNCTION("""COMPUTED_VALUE"""),"Fail")</f>
        <v>Fail</v>
      </c>
      <c r="G35" s="58" t="str">
        <f>IFERROR(__xludf.DUMMYFUNCTION("""COMPUTED_VALUE"""),"Client stories videos missing audio description")</f>
        <v>Client stories videos missing audio description</v>
      </c>
    </row>
    <row r="36" ht="45.0" customHeight="1">
      <c r="A36" s="57" t="str">
        <f>IFERROR(__xludf.DUMMYFUNCTION("""COMPUTED_VALUE"""),"Section 8 — QA: Media")</f>
        <v>Section 8 — QA: Media</v>
      </c>
      <c r="B36" s="57" t="str">
        <f>IFERROR(__xludf.DUMMYFUNCTION("""COMPUTED_VALUE"""),"—")</f>
        <v>—</v>
      </c>
      <c r="C36" s="57" t="str">
        <f>IFERROR(__xludf.DUMMYFUNCTION("""COMPUTED_VALUE"""),"BP")</f>
        <v>BP</v>
      </c>
      <c r="D36" s="57" t="str">
        <f>IFERROR(__xludf.DUMMYFUNCTION("""COMPUTED_VALUE"""),"Embedded video player is fully keyboard accessible")</f>
        <v>Embedded video player is fully keyboard accessible</v>
      </c>
      <c r="E36" s="57" t="str">
        <f>IFERROR(__xludf.DUMMYFUNCTION("""COMPUTED_VALUE"""),"Developer")</f>
        <v>Developer</v>
      </c>
      <c r="F36" s="57" t="str">
        <f>IFERROR(__xludf.DUMMYFUNCTION("""COMPUTED_VALUE"""),"Fail")</f>
        <v>Fail</v>
      </c>
      <c r="G36" s="58" t="str">
        <f>IFERROR(__xludf.DUMMYFUNCTION("""COMPUTED_VALUE"""),"Cannot interact with keyboard")</f>
        <v>Cannot interact with keyboard</v>
      </c>
    </row>
    <row r="37" ht="45.0" customHeight="1">
      <c r="A37" s="57"/>
      <c r="B37" s="57"/>
      <c r="C37" s="57"/>
      <c r="D37" s="57"/>
      <c r="E37" s="57"/>
      <c r="F37" s="57"/>
      <c r="G37" s="58"/>
    </row>
    <row r="38" ht="45.0" customHeight="1">
      <c r="A38" s="57"/>
      <c r="B38" s="57"/>
      <c r="C38" s="57"/>
      <c r="D38" s="57"/>
      <c r="E38" s="57"/>
      <c r="F38" s="57"/>
      <c r="G38" s="58"/>
    </row>
    <row r="39" ht="45.0" customHeight="1">
      <c r="A39" s="57"/>
      <c r="B39" s="57"/>
      <c r="C39" s="57"/>
      <c r="D39" s="57"/>
      <c r="E39" s="57"/>
      <c r="F39" s="57"/>
      <c r="G39" s="58"/>
    </row>
    <row r="40" ht="45.0" customHeight="1">
      <c r="A40" s="57"/>
      <c r="B40" s="57"/>
      <c r="C40" s="57"/>
      <c r="D40" s="57"/>
      <c r="E40" s="57"/>
      <c r="F40" s="57"/>
      <c r="G40" s="58"/>
    </row>
    <row r="41" ht="45.0" customHeight="1">
      <c r="A41" s="57"/>
      <c r="B41" s="57"/>
      <c r="C41" s="57"/>
      <c r="D41" s="57"/>
      <c r="E41" s="57"/>
      <c r="F41" s="57"/>
      <c r="G41" s="58"/>
    </row>
    <row r="42" ht="45.0" customHeight="1">
      <c r="A42" s="57"/>
      <c r="B42" s="57"/>
      <c r="C42" s="57"/>
      <c r="D42" s="57"/>
      <c r="E42" s="57"/>
      <c r="F42" s="57"/>
      <c r="G42" s="58"/>
    </row>
    <row r="43" ht="45.0" customHeight="1">
      <c r="A43" s="57"/>
      <c r="B43" s="57"/>
      <c r="C43" s="57"/>
      <c r="D43" s="57"/>
      <c r="E43" s="57"/>
      <c r="F43" s="57"/>
      <c r="G43" s="58"/>
    </row>
    <row r="44" ht="45.0" customHeight="1">
      <c r="A44" s="57"/>
      <c r="B44" s="57"/>
      <c r="C44" s="57"/>
      <c r="D44" s="57"/>
      <c r="E44" s="57"/>
      <c r="F44" s="57"/>
      <c r="G44" s="58"/>
    </row>
    <row r="45" ht="45.0" customHeight="1">
      <c r="A45" s="57"/>
      <c r="B45" s="57"/>
      <c r="C45" s="57"/>
      <c r="D45" s="57"/>
      <c r="E45" s="57"/>
      <c r="F45" s="57"/>
      <c r="G45" s="58"/>
    </row>
    <row r="46" ht="45.0" customHeight="1">
      <c r="A46" s="57"/>
      <c r="B46" s="57"/>
      <c r="C46" s="57"/>
      <c r="D46" s="57"/>
      <c r="E46" s="57"/>
      <c r="F46" s="57"/>
      <c r="G46" s="58"/>
    </row>
    <row r="47" ht="45.0" customHeight="1">
      <c r="A47" s="57"/>
      <c r="B47" s="57"/>
      <c r="C47" s="57"/>
      <c r="D47" s="57"/>
      <c r="E47" s="57"/>
      <c r="F47" s="57"/>
      <c r="G47" s="58"/>
    </row>
    <row r="48" ht="45.0" customHeight="1">
      <c r="A48" s="57"/>
      <c r="B48" s="57"/>
      <c r="C48" s="57"/>
      <c r="D48" s="57"/>
      <c r="E48" s="57"/>
      <c r="F48" s="57"/>
      <c r="G48" s="58"/>
    </row>
    <row r="49" ht="45.0" customHeight="1">
      <c r="A49" s="57"/>
      <c r="B49" s="57"/>
      <c r="C49" s="57"/>
      <c r="D49" s="57"/>
      <c r="E49" s="57"/>
      <c r="F49" s="57"/>
      <c r="G49" s="58"/>
    </row>
    <row r="50" ht="45.0" customHeight="1">
      <c r="A50" s="57"/>
      <c r="B50" s="57"/>
      <c r="C50" s="57"/>
      <c r="D50" s="57"/>
      <c r="E50" s="57"/>
      <c r="F50" s="57"/>
      <c r="G50" s="58"/>
    </row>
    <row r="51" ht="45.0" customHeight="1">
      <c r="A51" s="57"/>
      <c r="B51" s="57"/>
      <c r="C51" s="57"/>
      <c r="D51" s="57"/>
      <c r="E51" s="57"/>
      <c r="F51" s="57"/>
      <c r="G51" s="58"/>
    </row>
    <row r="52" ht="45.0" customHeight="1">
      <c r="A52" s="57"/>
      <c r="B52" s="57"/>
      <c r="C52" s="57"/>
      <c r="D52" s="57"/>
      <c r="E52" s="57"/>
      <c r="F52" s="57"/>
      <c r="G52" s="57"/>
    </row>
    <row r="53" ht="45.0" customHeight="1">
      <c r="A53" s="57"/>
      <c r="B53" s="57"/>
      <c r="C53" s="57"/>
      <c r="D53" s="57"/>
      <c r="E53" s="57"/>
      <c r="F53" s="57"/>
      <c r="G53" s="57"/>
    </row>
    <row r="54" ht="45.0" customHeight="1">
      <c r="A54" s="57"/>
      <c r="B54" s="57"/>
      <c r="C54" s="57"/>
      <c r="D54" s="57"/>
      <c r="E54" s="57"/>
      <c r="F54" s="57"/>
      <c r="G54" s="57"/>
    </row>
    <row r="55" ht="45.0" customHeight="1">
      <c r="A55" s="57"/>
      <c r="B55" s="57"/>
      <c r="C55" s="57"/>
      <c r="D55" s="57"/>
      <c r="E55" s="57"/>
      <c r="F55" s="57"/>
      <c r="G55" s="57"/>
    </row>
    <row r="56" ht="45.0" customHeight="1">
      <c r="A56" s="57"/>
      <c r="B56" s="57"/>
      <c r="C56" s="57"/>
      <c r="D56" s="57"/>
      <c r="E56" s="57"/>
      <c r="F56" s="57"/>
      <c r="G56" s="57"/>
    </row>
    <row r="57" ht="45.0" customHeight="1">
      <c r="A57" s="57"/>
      <c r="B57" s="57"/>
      <c r="C57" s="57"/>
      <c r="D57" s="57"/>
      <c r="E57" s="57"/>
      <c r="F57" s="57"/>
      <c r="G57" s="57"/>
    </row>
    <row r="58" ht="45.0" customHeight="1">
      <c r="A58" s="57"/>
      <c r="B58" s="57"/>
      <c r="C58" s="57"/>
      <c r="D58" s="57"/>
      <c r="E58" s="57"/>
      <c r="F58" s="57"/>
      <c r="G58" s="57"/>
    </row>
    <row r="59" ht="45.0" customHeight="1">
      <c r="A59" s="57"/>
      <c r="B59" s="57"/>
      <c r="C59" s="57"/>
      <c r="D59" s="57"/>
      <c r="E59" s="57"/>
      <c r="F59" s="57"/>
      <c r="G59" s="57"/>
    </row>
    <row r="60" ht="45.0" customHeight="1">
      <c r="A60" s="57"/>
      <c r="B60" s="57"/>
      <c r="C60" s="57"/>
      <c r="D60" s="57"/>
      <c r="E60" s="57"/>
      <c r="F60" s="57"/>
      <c r="G60" s="57"/>
    </row>
    <row r="61" ht="45.0" customHeight="1">
      <c r="A61" s="57"/>
      <c r="B61" s="57"/>
      <c r="C61" s="57"/>
      <c r="D61" s="57"/>
      <c r="E61" s="57"/>
      <c r="F61" s="57"/>
      <c r="G61" s="57"/>
    </row>
    <row r="62" ht="45.0" customHeight="1">
      <c r="A62" s="57"/>
      <c r="B62" s="57"/>
      <c r="C62" s="57"/>
      <c r="D62" s="57"/>
      <c r="E62" s="57"/>
      <c r="F62" s="57"/>
      <c r="G62" s="57"/>
    </row>
    <row r="63" ht="45.0" customHeight="1">
      <c r="A63" s="57"/>
      <c r="B63" s="57"/>
      <c r="C63" s="57"/>
      <c r="D63" s="57"/>
      <c r="E63" s="57"/>
      <c r="F63" s="57"/>
      <c r="G63" s="57"/>
    </row>
    <row r="64" ht="45.0" customHeight="1">
      <c r="A64" s="57"/>
      <c r="B64" s="57"/>
      <c r="C64" s="57"/>
      <c r="D64" s="57"/>
      <c r="E64" s="57"/>
      <c r="F64" s="57"/>
      <c r="G64" s="57"/>
    </row>
    <row r="65" ht="45.0" customHeight="1">
      <c r="A65" s="57"/>
      <c r="B65" s="57"/>
      <c r="C65" s="57"/>
      <c r="D65" s="57"/>
      <c r="E65" s="57"/>
      <c r="F65" s="57"/>
      <c r="G65" s="57"/>
    </row>
    <row r="66" ht="45.0" customHeight="1">
      <c r="A66" s="57"/>
      <c r="B66" s="57"/>
      <c r="C66" s="57"/>
      <c r="D66" s="57"/>
      <c r="E66" s="57"/>
      <c r="F66" s="57"/>
      <c r="G66" s="57"/>
    </row>
    <row r="67" ht="45.0" customHeight="1">
      <c r="A67" s="57"/>
      <c r="B67" s="57"/>
      <c r="C67" s="57"/>
      <c r="D67" s="57"/>
      <c r="E67" s="57"/>
      <c r="F67" s="57"/>
      <c r="G67" s="57"/>
    </row>
    <row r="68" ht="45.0" customHeight="1">
      <c r="A68" s="59"/>
      <c r="B68" s="59"/>
      <c r="C68" s="59"/>
      <c r="D68" s="59"/>
      <c r="E68" s="59"/>
      <c r="F68" s="59"/>
      <c r="G68" s="59"/>
    </row>
    <row r="69" ht="45.0" customHeight="1">
      <c r="A69" s="59"/>
      <c r="B69" s="59"/>
      <c r="C69" s="59"/>
      <c r="D69" s="59"/>
      <c r="E69" s="59"/>
      <c r="F69" s="59"/>
      <c r="G69" s="59"/>
    </row>
    <row r="70" ht="45.0" customHeight="1">
      <c r="A70" s="59"/>
      <c r="B70" s="59"/>
      <c r="C70" s="59"/>
      <c r="D70" s="59"/>
      <c r="E70" s="59"/>
      <c r="F70" s="59"/>
      <c r="G70" s="59"/>
    </row>
    <row r="71" ht="45.0" customHeight="1">
      <c r="A71" s="59"/>
      <c r="B71" s="59"/>
      <c r="C71" s="59"/>
      <c r="D71" s="59"/>
      <c r="E71" s="59"/>
      <c r="F71" s="59"/>
      <c r="G71" s="59"/>
    </row>
    <row r="72" ht="45.0" customHeight="1">
      <c r="A72" s="59"/>
      <c r="B72" s="59"/>
      <c r="C72" s="59"/>
      <c r="D72" s="59"/>
      <c r="E72" s="59"/>
      <c r="F72" s="59"/>
      <c r="G72" s="59"/>
    </row>
    <row r="73" ht="45.0" customHeight="1">
      <c r="A73" s="59"/>
      <c r="B73" s="59"/>
      <c r="C73" s="59"/>
      <c r="D73" s="59"/>
      <c r="E73" s="59"/>
      <c r="F73" s="59"/>
      <c r="G73" s="59"/>
    </row>
    <row r="74" ht="45.0" customHeight="1">
      <c r="A74" s="59"/>
      <c r="B74" s="59"/>
      <c r="C74" s="59"/>
      <c r="D74" s="59"/>
      <c r="E74" s="59"/>
      <c r="F74" s="59"/>
      <c r="G74" s="59"/>
    </row>
    <row r="75" ht="45.0" customHeight="1">
      <c r="A75" s="59"/>
      <c r="B75" s="59"/>
      <c r="C75" s="59"/>
      <c r="D75" s="59"/>
      <c r="E75" s="59"/>
      <c r="F75" s="59"/>
      <c r="G75" s="59"/>
    </row>
    <row r="76" ht="45.0" customHeight="1">
      <c r="A76" s="59"/>
      <c r="B76" s="59"/>
      <c r="C76" s="59"/>
      <c r="D76" s="59"/>
      <c r="E76" s="59"/>
      <c r="F76" s="59"/>
      <c r="G76" s="59"/>
    </row>
    <row r="77" ht="45.0" customHeight="1">
      <c r="A77" s="59"/>
      <c r="B77" s="59"/>
      <c r="C77" s="59"/>
      <c r="D77" s="59"/>
      <c r="E77" s="59"/>
      <c r="F77" s="59"/>
      <c r="G77" s="59"/>
    </row>
    <row r="78" ht="45.0" customHeight="1">
      <c r="A78" s="59"/>
      <c r="B78" s="59"/>
      <c r="C78" s="59"/>
      <c r="D78" s="59"/>
      <c r="E78" s="59"/>
      <c r="F78" s="59"/>
      <c r="G78" s="59"/>
    </row>
    <row r="79" ht="45.0" customHeight="1">
      <c r="A79" s="59"/>
      <c r="B79" s="59"/>
      <c r="C79" s="59"/>
      <c r="D79" s="59"/>
      <c r="E79" s="59"/>
      <c r="F79" s="59"/>
      <c r="G79" s="59"/>
    </row>
    <row r="80" ht="45.0" customHeight="1">
      <c r="A80" s="59"/>
      <c r="B80" s="59"/>
      <c r="C80" s="59"/>
      <c r="D80" s="59"/>
      <c r="E80" s="59"/>
      <c r="F80" s="59"/>
      <c r="G80" s="59"/>
    </row>
    <row r="81" ht="45.0" customHeight="1">
      <c r="A81" s="59"/>
      <c r="B81" s="59"/>
      <c r="C81" s="59"/>
      <c r="D81" s="59"/>
      <c r="E81" s="59"/>
      <c r="F81" s="59"/>
      <c r="G81" s="59"/>
    </row>
    <row r="82" ht="45.0" customHeight="1">
      <c r="A82" s="59"/>
      <c r="B82" s="59"/>
      <c r="C82" s="59"/>
      <c r="D82" s="59"/>
      <c r="E82" s="59"/>
      <c r="F82" s="59"/>
      <c r="G82" s="59"/>
    </row>
    <row r="83" ht="45.0" customHeight="1">
      <c r="A83" s="59"/>
      <c r="B83" s="59"/>
      <c r="C83" s="59"/>
      <c r="D83" s="59"/>
      <c r="E83" s="59"/>
      <c r="F83" s="59"/>
      <c r="G83" s="59"/>
    </row>
    <row r="84" ht="45.0" customHeight="1">
      <c r="A84" s="59"/>
      <c r="B84" s="59"/>
      <c r="C84" s="59"/>
      <c r="D84" s="59"/>
      <c r="E84" s="59"/>
      <c r="F84" s="59"/>
      <c r="G84" s="59"/>
    </row>
    <row r="85" ht="45.0" customHeight="1">
      <c r="A85" s="59"/>
      <c r="B85" s="59"/>
      <c r="C85" s="59"/>
      <c r="D85" s="59"/>
      <c r="E85" s="59"/>
      <c r="F85" s="59"/>
      <c r="G85" s="59"/>
    </row>
    <row r="86" ht="45.0" customHeight="1">
      <c r="A86" s="59"/>
      <c r="B86" s="59"/>
      <c r="C86" s="59"/>
      <c r="D86" s="59"/>
      <c r="E86" s="59"/>
      <c r="F86" s="59"/>
      <c r="G86" s="59"/>
    </row>
    <row r="87" ht="45.0" customHeight="1">
      <c r="A87" s="59"/>
      <c r="B87" s="59"/>
      <c r="C87" s="59"/>
      <c r="D87" s="59"/>
      <c r="E87" s="59"/>
      <c r="F87" s="59"/>
      <c r="G87" s="59"/>
    </row>
    <row r="88" ht="45.0" customHeight="1">
      <c r="A88" s="59"/>
      <c r="B88" s="59"/>
      <c r="C88" s="59"/>
      <c r="D88" s="59"/>
      <c r="E88" s="59"/>
      <c r="F88" s="59"/>
      <c r="G88" s="59"/>
    </row>
    <row r="89" ht="45.0" customHeight="1">
      <c r="A89" s="59"/>
      <c r="B89" s="59"/>
      <c r="C89" s="59"/>
      <c r="D89" s="59"/>
      <c r="E89" s="59"/>
      <c r="F89" s="59"/>
      <c r="G89" s="59"/>
    </row>
    <row r="90" ht="45.0" customHeight="1">
      <c r="A90" s="59"/>
      <c r="B90" s="59"/>
      <c r="C90" s="59"/>
      <c r="D90" s="59"/>
      <c r="E90" s="59"/>
      <c r="F90" s="59"/>
      <c r="G90" s="59"/>
    </row>
    <row r="91" ht="45.0" customHeight="1">
      <c r="A91" s="59"/>
      <c r="B91" s="59"/>
      <c r="C91" s="59"/>
      <c r="D91" s="59"/>
      <c r="E91" s="59"/>
      <c r="F91" s="59"/>
      <c r="G91" s="59"/>
    </row>
    <row r="92" ht="45.0" customHeight="1">
      <c r="A92" s="59"/>
      <c r="B92" s="59"/>
      <c r="C92" s="59"/>
      <c r="D92" s="59"/>
      <c r="E92" s="59"/>
      <c r="F92" s="59"/>
      <c r="G92" s="59"/>
    </row>
    <row r="93" ht="45.0" customHeight="1">
      <c r="A93" s="59"/>
      <c r="B93" s="59"/>
      <c r="C93" s="59"/>
      <c r="D93" s="59"/>
      <c r="E93" s="59"/>
      <c r="F93" s="59"/>
      <c r="G93" s="59"/>
    </row>
    <row r="94" ht="45.0" customHeight="1">
      <c r="A94" s="59"/>
      <c r="B94" s="59"/>
      <c r="C94" s="59"/>
      <c r="D94" s="59"/>
      <c r="E94" s="59"/>
      <c r="F94" s="59"/>
      <c r="G94" s="59"/>
    </row>
    <row r="95" ht="45.0" customHeight="1">
      <c r="A95" s="59"/>
      <c r="B95" s="59"/>
      <c r="C95" s="59"/>
      <c r="D95" s="59"/>
      <c r="E95" s="59"/>
      <c r="F95" s="59"/>
      <c r="G95" s="59"/>
    </row>
    <row r="96" ht="45.0" customHeight="1">
      <c r="A96" s="59"/>
      <c r="B96" s="59"/>
      <c r="C96" s="59"/>
      <c r="D96" s="59"/>
      <c r="E96" s="59"/>
      <c r="F96" s="59"/>
      <c r="G96" s="59"/>
    </row>
    <row r="97" ht="45.0" customHeight="1">
      <c r="A97" s="59"/>
      <c r="B97" s="59"/>
      <c r="C97" s="59"/>
      <c r="D97" s="59"/>
      <c r="E97" s="59"/>
      <c r="F97" s="59"/>
      <c r="G97" s="59"/>
    </row>
    <row r="98" ht="45.0" customHeight="1">
      <c r="A98" s="59"/>
      <c r="B98" s="59"/>
      <c r="C98" s="59"/>
      <c r="D98" s="59"/>
      <c r="E98" s="59"/>
      <c r="F98" s="59"/>
      <c r="G98" s="59"/>
    </row>
    <row r="99" ht="45.0" customHeight="1">
      <c r="A99" s="59"/>
      <c r="B99" s="59"/>
      <c r="C99" s="59"/>
      <c r="D99" s="59"/>
      <c r="E99" s="59"/>
      <c r="F99" s="59"/>
      <c r="G99" s="59"/>
    </row>
    <row r="100" ht="45.0" customHeight="1">
      <c r="A100" s="59"/>
      <c r="B100" s="59"/>
      <c r="C100" s="59"/>
      <c r="D100" s="59"/>
      <c r="E100" s="59"/>
      <c r="F100" s="59"/>
      <c r="G100" s="59"/>
    </row>
    <row r="101" ht="45.0" customHeight="1">
      <c r="A101" s="59"/>
      <c r="B101" s="59"/>
      <c r="C101" s="59"/>
      <c r="D101" s="59"/>
      <c r="E101" s="59"/>
      <c r="F101" s="59"/>
      <c r="G101" s="59"/>
    </row>
    <row r="102" ht="45.0" customHeight="1">
      <c r="A102" s="59"/>
      <c r="B102" s="59"/>
      <c r="C102" s="59"/>
      <c r="D102" s="59"/>
      <c r="E102" s="59"/>
      <c r="F102" s="59"/>
      <c r="G102" s="59"/>
    </row>
    <row r="103" ht="45.0" customHeight="1">
      <c r="A103" s="59"/>
      <c r="B103" s="59"/>
      <c r="C103" s="59"/>
      <c r="D103" s="59"/>
      <c r="E103" s="59"/>
      <c r="F103" s="59"/>
      <c r="G103" s="59"/>
    </row>
    <row r="104" ht="45.0" customHeight="1">
      <c r="A104" s="59"/>
      <c r="B104" s="59"/>
      <c r="C104" s="59"/>
      <c r="D104" s="59"/>
      <c r="E104" s="59"/>
      <c r="F104" s="59"/>
      <c r="G104" s="59"/>
    </row>
    <row r="105" ht="45.0" customHeight="1">
      <c r="A105" s="59"/>
      <c r="B105" s="59"/>
      <c r="C105" s="59"/>
      <c r="D105" s="59"/>
      <c r="E105" s="59"/>
      <c r="F105" s="59"/>
      <c r="G105" s="59"/>
    </row>
    <row r="106" ht="45.0" customHeight="1">
      <c r="A106" s="59"/>
      <c r="B106" s="59"/>
      <c r="C106" s="59"/>
      <c r="D106" s="59"/>
      <c r="E106" s="59"/>
      <c r="F106" s="59"/>
      <c r="G106" s="59"/>
    </row>
    <row r="107" ht="45.0" customHeight="1">
      <c r="A107" s="59"/>
      <c r="B107" s="59"/>
      <c r="C107" s="59"/>
      <c r="D107" s="59"/>
      <c r="E107" s="59"/>
      <c r="F107" s="59"/>
      <c r="G107" s="59"/>
    </row>
    <row r="108" ht="45.0" customHeight="1">
      <c r="A108" s="59"/>
      <c r="B108" s="59"/>
      <c r="C108" s="59"/>
      <c r="D108" s="59"/>
      <c r="E108" s="59"/>
      <c r="F108" s="59"/>
      <c r="G108" s="59"/>
    </row>
    <row r="109" ht="45.0" customHeight="1">
      <c r="A109" s="59"/>
      <c r="B109" s="59"/>
      <c r="C109" s="59"/>
      <c r="D109" s="59"/>
      <c r="E109" s="59"/>
      <c r="F109" s="59"/>
      <c r="G109" s="59"/>
    </row>
    <row r="110" ht="45.0" customHeight="1">
      <c r="A110" s="59"/>
      <c r="B110" s="59"/>
      <c r="C110" s="59"/>
      <c r="D110" s="59"/>
      <c r="E110" s="59"/>
      <c r="F110" s="59"/>
      <c r="G110" s="59"/>
    </row>
    <row r="111" ht="45.0" customHeight="1">
      <c r="A111" s="59"/>
      <c r="B111" s="59"/>
      <c r="C111" s="59"/>
      <c r="D111" s="59"/>
      <c r="E111" s="59"/>
      <c r="F111" s="59"/>
      <c r="G111" s="59"/>
    </row>
    <row r="112" ht="45.0" customHeight="1">
      <c r="A112" s="59"/>
      <c r="B112" s="59"/>
      <c r="C112" s="59"/>
      <c r="D112" s="59"/>
      <c r="E112" s="59"/>
      <c r="F112" s="59"/>
      <c r="G112" s="59"/>
    </row>
    <row r="113" ht="45.0" customHeight="1">
      <c r="A113" s="59"/>
      <c r="B113" s="59"/>
      <c r="C113" s="59"/>
      <c r="D113" s="59"/>
      <c r="E113" s="59"/>
      <c r="F113" s="59"/>
      <c r="G113" s="59"/>
    </row>
    <row r="114" ht="45.0" customHeight="1">
      <c r="A114" s="59"/>
      <c r="B114" s="59"/>
      <c r="C114" s="59"/>
      <c r="D114" s="59"/>
      <c r="E114" s="59"/>
      <c r="F114" s="59"/>
      <c r="G114" s="59"/>
    </row>
    <row r="115" ht="45.0" customHeight="1">
      <c r="A115" s="59"/>
      <c r="B115" s="59"/>
      <c r="C115" s="59"/>
      <c r="D115" s="59"/>
      <c r="E115" s="59"/>
      <c r="F115" s="59"/>
      <c r="G115" s="59"/>
    </row>
    <row r="116" ht="45.0" customHeight="1">
      <c r="A116" s="59"/>
      <c r="B116" s="59"/>
      <c r="C116" s="59"/>
      <c r="D116" s="59"/>
      <c r="E116" s="59"/>
      <c r="F116" s="59"/>
      <c r="G116" s="59"/>
    </row>
    <row r="117" ht="45.0" customHeight="1">
      <c r="A117" s="59"/>
      <c r="B117" s="59"/>
      <c r="C117" s="59"/>
      <c r="D117" s="59"/>
      <c r="E117" s="59"/>
      <c r="F117" s="59"/>
      <c r="G117" s="59"/>
    </row>
    <row r="118" ht="45.0" customHeight="1">
      <c r="A118" s="59"/>
      <c r="B118" s="59"/>
      <c r="C118" s="59"/>
      <c r="D118" s="59"/>
      <c r="E118" s="59"/>
      <c r="F118" s="59"/>
      <c r="G118" s="59"/>
    </row>
    <row r="119" ht="45.0" customHeight="1">
      <c r="A119" s="59"/>
      <c r="B119" s="59"/>
      <c r="C119" s="59"/>
      <c r="D119" s="59"/>
      <c r="E119" s="59"/>
      <c r="F119" s="59"/>
      <c r="G119" s="59"/>
    </row>
    <row r="120" ht="45.0" customHeight="1">
      <c r="A120" s="59"/>
      <c r="B120" s="59"/>
      <c r="C120" s="59"/>
      <c r="D120" s="59"/>
      <c r="E120" s="59"/>
      <c r="F120" s="59"/>
      <c r="G120" s="59"/>
    </row>
    <row r="121" ht="45.0" customHeight="1">
      <c r="A121" s="59"/>
      <c r="B121" s="59"/>
      <c r="C121" s="59"/>
      <c r="D121" s="59"/>
      <c r="E121" s="59"/>
      <c r="F121" s="59"/>
      <c r="G121" s="59"/>
    </row>
    <row r="122" ht="45.0" customHeight="1">
      <c r="A122" s="59"/>
      <c r="B122" s="59"/>
      <c r="C122" s="59"/>
      <c r="D122" s="59"/>
      <c r="E122" s="59"/>
      <c r="F122" s="59"/>
      <c r="G122" s="59"/>
    </row>
    <row r="123" ht="45.0" customHeight="1">
      <c r="A123" s="59"/>
      <c r="B123" s="59"/>
      <c r="C123" s="59"/>
      <c r="D123" s="59"/>
      <c r="E123" s="59"/>
      <c r="F123" s="59"/>
      <c r="G123" s="59"/>
    </row>
    <row r="124" ht="45.0" customHeight="1">
      <c r="A124" s="59"/>
      <c r="B124" s="59"/>
      <c r="C124" s="59"/>
      <c r="D124" s="59"/>
      <c r="E124" s="59"/>
      <c r="F124" s="59"/>
      <c r="G124" s="59"/>
    </row>
    <row r="125" ht="45.0" customHeight="1">
      <c r="A125" s="59"/>
      <c r="B125" s="59"/>
      <c r="C125" s="59"/>
      <c r="D125" s="59"/>
      <c r="E125" s="59"/>
      <c r="F125" s="59"/>
      <c r="G125" s="59"/>
    </row>
    <row r="126" ht="45.0" customHeight="1">
      <c r="A126" s="59"/>
      <c r="B126" s="59"/>
      <c r="C126" s="59"/>
      <c r="D126" s="59"/>
      <c r="E126" s="59"/>
      <c r="F126" s="59"/>
      <c r="G126" s="59"/>
    </row>
    <row r="127" ht="45.0" customHeight="1">
      <c r="A127" s="59"/>
      <c r="B127" s="59"/>
      <c r="C127" s="59"/>
      <c r="D127" s="59"/>
      <c r="E127" s="59"/>
      <c r="F127" s="59"/>
      <c r="G127" s="59"/>
    </row>
    <row r="128" ht="45.0" customHeight="1">
      <c r="A128" s="59"/>
      <c r="B128" s="59"/>
      <c r="C128" s="59"/>
      <c r="D128" s="59"/>
      <c r="E128" s="59"/>
      <c r="F128" s="59"/>
      <c r="G128" s="59"/>
    </row>
    <row r="129" ht="45.0" customHeight="1">
      <c r="A129" s="59"/>
      <c r="B129" s="59"/>
      <c r="C129" s="59"/>
      <c r="D129" s="59"/>
      <c r="E129" s="59"/>
      <c r="F129" s="59"/>
      <c r="G129" s="59"/>
    </row>
    <row r="130" ht="45.0" customHeight="1">
      <c r="A130" s="59"/>
      <c r="B130" s="59"/>
      <c r="C130" s="59"/>
      <c r="D130" s="59"/>
      <c r="E130" s="59"/>
      <c r="F130" s="59"/>
      <c r="G130" s="59"/>
    </row>
    <row r="131" ht="45.0" customHeight="1">
      <c r="A131" s="59"/>
      <c r="B131" s="59"/>
      <c r="C131" s="59"/>
      <c r="D131" s="59"/>
      <c r="E131" s="59"/>
      <c r="F131" s="59"/>
      <c r="G131" s="59"/>
    </row>
    <row r="132" ht="45.0" customHeight="1">
      <c r="A132" s="59"/>
      <c r="B132" s="59"/>
      <c r="C132" s="59"/>
      <c r="D132" s="59"/>
      <c r="E132" s="59"/>
      <c r="F132" s="59"/>
      <c r="G132" s="59"/>
    </row>
    <row r="133" ht="45.0" customHeight="1">
      <c r="A133" s="59"/>
      <c r="B133" s="59"/>
      <c r="C133" s="59"/>
      <c r="D133" s="59"/>
      <c r="E133" s="59"/>
      <c r="F133" s="59"/>
      <c r="G133" s="59"/>
    </row>
    <row r="134" ht="45.0" customHeight="1">
      <c r="A134" s="59"/>
      <c r="B134" s="59"/>
      <c r="C134" s="59"/>
      <c r="D134" s="59"/>
      <c r="E134" s="59"/>
      <c r="F134" s="59"/>
      <c r="G134" s="59"/>
    </row>
    <row r="135" ht="45.0" customHeight="1">
      <c r="A135" s="59"/>
      <c r="B135" s="59"/>
      <c r="C135" s="59"/>
      <c r="D135" s="59"/>
      <c r="E135" s="59"/>
      <c r="F135" s="59"/>
      <c r="G135" s="59"/>
    </row>
    <row r="136" ht="45.0" customHeight="1">
      <c r="A136" s="59"/>
      <c r="B136" s="59"/>
      <c r="C136" s="59"/>
      <c r="D136" s="59"/>
      <c r="E136" s="59"/>
      <c r="F136" s="59"/>
      <c r="G136" s="59"/>
    </row>
    <row r="137" ht="45.0" customHeight="1">
      <c r="A137" s="59"/>
      <c r="B137" s="59"/>
      <c r="C137" s="59"/>
      <c r="D137" s="59"/>
      <c r="E137" s="59"/>
      <c r="F137" s="59"/>
      <c r="G137" s="59"/>
    </row>
    <row r="138" ht="45.0" customHeight="1">
      <c r="A138" s="59"/>
      <c r="B138" s="59"/>
      <c r="C138" s="59"/>
      <c r="D138" s="59"/>
      <c r="E138" s="59"/>
      <c r="F138" s="59"/>
      <c r="G138" s="59"/>
    </row>
    <row r="139" ht="45.0" customHeight="1">
      <c r="A139" s="59"/>
      <c r="B139" s="59"/>
      <c r="C139" s="59"/>
      <c r="D139" s="59"/>
      <c r="E139" s="59"/>
      <c r="F139" s="59"/>
      <c r="G139" s="59"/>
    </row>
    <row r="140" ht="45.0" customHeight="1">
      <c r="A140" s="59"/>
      <c r="B140" s="59"/>
      <c r="C140" s="59"/>
      <c r="D140" s="59"/>
      <c r="E140" s="59"/>
      <c r="F140" s="59"/>
      <c r="G140" s="59"/>
    </row>
    <row r="141" ht="45.0" customHeight="1">
      <c r="A141" s="59"/>
      <c r="B141" s="59"/>
      <c r="C141" s="59"/>
      <c r="D141" s="59"/>
      <c r="E141" s="59"/>
      <c r="F141" s="59"/>
      <c r="G141" s="59"/>
    </row>
    <row r="142" ht="45.0" customHeight="1">
      <c r="A142" s="59"/>
      <c r="B142" s="59"/>
      <c r="C142" s="59"/>
      <c r="D142" s="59"/>
      <c r="E142" s="59"/>
      <c r="F142" s="59"/>
      <c r="G142" s="59"/>
    </row>
    <row r="143" ht="45.0" customHeight="1">
      <c r="A143" s="59"/>
      <c r="B143" s="59"/>
      <c r="C143" s="59"/>
      <c r="D143" s="59"/>
      <c r="E143" s="59"/>
      <c r="F143" s="59"/>
      <c r="G143" s="59"/>
    </row>
    <row r="144" ht="45.0" customHeight="1">
      <c r="A144" s="59"/>
      <c r="B144" s="59"/>
      <c r="C144" s="59"/>
      <c r="D144" s="59"/>
      <c r="E144" s="59"/>
      <c r="F144" s="59"/>
      <c r="G144" s="59"/>
    </row>
    <row r="145" ht="45.0" customHeight="1">
      <c r="A145" s="59"/>
      <c r="B145" s="59"/>
      <c r="C145" s="59"/>
      <c r="D145" s="59"/>
      <c r="E145" s="59"/>
      <c r="F145" s="59"/>
      <c r="G145" s="59"/>
    </row>
    <row r="146" ht="45.0" customHeight="1">
      <c r="A146" s="59"/>
      <c r="B146" s="59"/>
      <c r="C146" s="59"/>
      <c r="D146" s="59"/>
      <c r="E146" s="59"/>
      <c r="F146" s="59"/>
      <c r="G146" s="59"/>
    </row>
    <row r="147" ht="45.0" customHeight="1">
      <c r="A147" s="59"/>
      <c r="B147" s="59"/>
      <c r="C147" s="59"/>
      <c r="D147" s="59"/>
      <c r="E147" s="59"/>
      <c r="F147" s="59"/>
      <c r="G147" s="59"/>
    </row>
    <row r="148" ht="45.0" customHeight="1">
      <c r="A148" s="59"/>
      <c r="B148" s="59"/>
      <c r="C148" s="59"/>
      <c r="D148" s="59"/>
      <c r="E148" s="59"/>
      <c r="F148" s="59"/>
      <c r="G148" s="59"/>
    </row>
    <row r="149" ht="45.0" customHeight="1">
      <c r="A149" s="59"/>
      <c r="B149" s="59"/>
      <c r="C149" s="59"/>
      <c r="D149" s="59"/>
      <c r="E149" s="59"/>
      <c r="F149" s="59"/>
      <c r="G149" s="59"/>
    </row>
    <row r="150" ht="45.0" customHeight="1">
      <c r="A150" s="59"/>
      <c r="B150" s="59"/>
      <c r="C150" s="59"/>
      <c r="D150" s="59"/>
      <c r="E150" s="59"/>
      <c r="F150" s="59"/>
      <c r="G150" s="59"/>
    </row>
    <row r="151" ht="45.0" customHeight="1">
      <c r="A151" s="59"/>
      <c r="B151" s="59"/>
      <c r="C151" s="59"/>
      <c r="D151" s="59"/>
      <c r="E151" s="59"/>
      <c r="F151" s="59"/>
      <c r="G151" s="59"/>
    </row>
    <row r="152" ht="45.0" customHeight="1">
      <c r="A152" s="59"/>
      <c r="B152" s="59"/>
      <c r="C152" s="59"/>
      <c r="D152" s="59"/>
      <c r="E152" s="59"/>
      <c r="F152" s="59"/>
      <c r="G152" s="59"/>
    </row>
    <row r="153" ht="45.0" customHeight="1">
      <c r="A153" s="59"/>
      <c r="B153" s="59"/>
      <c r="C153" s="59"/>
      <c r="D153" s="59"/>
      <c r="E153" s="59"/>
      <c r="F153" s="59"/>
      <c r="G153" s="59"/>
    </row>
    <row r="154" ht="45.0" customHeight="1">
      <c r="A154" s="59"/>
      <c r="B154" s="59"/>
      <c r="C154" s="59"/>
      <c r="D154" s="59"/>
      <c r="E154" s="59"/>
      <c r="F154" s="59"/>
      <c r="G154" s="59"/>
    </row>
    <row r="155" ht="45.0" customHeight="1">
      <c r="A155" s="59"/>
      <c r="B155" s="59"/>
      <c r="C155" s="59"/>
      <c r="D155" s="59"/>
      <c r="E155" s="59"/>
      <c r="F155" s="59"/>
      <c r="G155" s="59"/>
    </row>
    <row r="156" ht="45.0" customHeight="1">
      <c r="A156" s="59"/>
      <c r="B156" s="59"/>
      <c r="C156" s="59"/>
      <c r="D156" s="59"/>
      <c r="E156" s="59"/>
      <c r="F156" s="59"/>
      <c r="G156" s="59"/>
    </row>
    <row r="157" ht="45.0" customHeight="1">
      <c r="A157" s="59"/>
      <c r="B157" s="59"/>
      <c r="C157" s="59"/>
      <c r="D157" s="59"/>
      <c r="E157" s="59"/>
      <c r="F157" s="59"/>
      <c r="G157" s="59"/>
    </row>
    <row r="158" ht="45.0" customHeight="1">
      <c r="A158" s="59"/>
      <c r="B158" s="59"/>
      <c r="C158" s="59"/>
      <c r="D158" s="59"/>
      <c r="E158" s="59"/>
      <c r="F158" s="59"/>
      <c r="G158" s="59"/>
    </row>
    <row r="159" ht="45.0" customHeight="1">
      <c r="A159" s="59"/>
      <c r="B159" s="59"/>
      <c r="C159" s="59"/>
      <c r="D159" s="59"/>
      <c r="E159" s="59"/>
      <c r="F159" s="59"/>
      <c r="G159" s="59"/>
    </row>
    <row r="160" ht="45.0" customHeight="1">
      <c r="A160" s="59"/>
      <c r="B160" s="59"/>
      <c r="C160" s="59"/>
      <c r="D160" s="59"/>
      <c r="E160" s="59"/>
      <c r="F160" s="59"/>
      <c r="G160" s="59"/>
    </row>
    <row r="161" ht="45.0" customHeight="1">
      <c r="A161" s="59"/>
      <c r="B161" s="59"/>
      <c r="C161" s="59"/>
      <c r="D161" s="59"/>
      <c r="E161" s="59"/>
      <c r="F161" s="59"/>
      <c r="G161" s="59"/>
    </row>
    <row r="162" ht="45.0" customHeight="1">
      <c r="A162" s="59"/>
      <c r="B162" s="59"/>
      <c r="C162" s="59"/>
      <c r="D162" s="59"/>
      <c r="E162" s="59"/>
      <c r="F162" s="59"/>
      <c r="G162" s="59"/>
    </row>
    <row r="163" ht="45.0" customHeight="1">
      <c r="A163" s="59"/>
      <c r="B163" s="59"/>
      <c r="C163" s="59"/>
      <c r="D163" s="59"/>
      <c r="E163" s="59"/>
      <c r="F163" s="59"/>
      <c r="G163" s="59"/>
    </row>
    <row r="164" ht="45.0" customHeight="1">
      <c r="A164" s="59"/>
      <c r="B164" s="59"/>
      <c r="C164" s="59"/>
      <c r="D164" s="59"/>
      <c r="E164" s="59"/>
      <c r="F164" s="59"/>
      <c r="G164" s="59"/>
    </row>
    <row r="165" ht="45.0" customHeight="1">
      <c r="A165" s="59"/>
      <c r="B165" s="59"/>
      <c r="C165" s="59"/>
      <c r="D165" s="59"/>
      <c r="E165" s="59"/>
      <c r="F165" s="59"/>
      <c r="G165" s="59"/>
    </row>
    <row r="166" ht="45.0" customHeight="1">
      <c r="A166" s="59"/>
      <c r="B166" s="59"/>
      <c r="C166" s="59"/>
      <c r="D166" s="59"/>
      <c r="E166" s="59"/>
      <c r="F166" s="59"/>
      <c r="G166" s="59"/>
    </row>
    <row r="167" ht="45.0" customHeight="1">
      <c r="A167" s="59"/>
      <c r="B167" s="59"/>
      <c r="C167" s="59"/>
      <c r="D167" s="59"/>
      <c r="E167" s="59"/>
      <c r="F167" s="59"/>
      <c r="G167" s="59"/>
    </row>
    <row r="168" ht="45.0" customHeight="1">
      <c r="A168" s="59"/>
      <c r="B168" s="59"/>
      <c r="C168" s="59"/>
      <c r="D168" s="59"/>
      <c r="E168" s="59"/>
      <c r="F168" s="59"/>
      <c r="G168" s="59"/>
    </row>
    <row r="169" ht="45.0" customHeight="1">
      <c r="A169" s="59"/>
      <c r="B169" s="59"/>
      <c r="C169" s="59"/>
      <c r="D169" s="59"/>
      <c r="E169" s="59"/>
      <c r="F169" s="59"/>
      <c r="G169" s="59"/>
    </row>
    <row r="170" ht="45.0" customHeight="1">
      <c r="A170" s="59"/>
      <c r="B170" s="59"/>
      <c r="C170" s="59"/>
      <c r="D170" s="59"/>
      <c r="E170" s="59"/>
      <c r="F170" s="59"/>
      <c r="G170" s="59"/>
    </row>
    <row r="171" ht="45.0" customHeight="1">
      <c r="A171" s="59"/>
      <c r="B171" s="59"/>
      <c r="C171" s="59"/>
      <c r="D171" s="59"/>
      <c r="E171" s="59"/>
      <c r="F171" s="59"/>
      <c r="G171" s="59"/>
    </row>
    <row r="172" ht="45.0" customHeight="1">
      <c r="A172" s="59"/>
      <c r="B172" s="59"/>
      <c r="C172" s="59"/>
      <c r="D172" s="59"/>
      <c r="E172" s="59"/>
      <c r="F172" s="59"/>
      <c r="G172" s="59"/>
    </row>
    <row r="173" ht="45.0" customHeight="1">
      <c r="A173" s="59"/>
      <c r="B173" s="59"/>
      <c r="C173" s="59"/>
      <c r="D173" s="59"/>
      <c r="E173" s="59"/>
      <c r="F173" s="59"/>
      <c r="G173" s="59"/>
    </row>
    <row r="174" ht="45.0" customHeight="1">
      <c r="A174" s="59"/>
      <c r="B174" s="59"/>
      <c r="C174" s="59"/>
      <c r="D174" s="59"/>
      <c r="E174" s="59"/>
      <c r="F174" s="59"/>
      <c r="G174" s="59"/>
    </row>
    <row r="175" ht="45.0" customHeight="1">
      <c r="A175" s="59"/>
      <c r="B175" s="59"/>
      <c r="C175" s="59"/>
      <c r="D175" s="59"/>
      <c r="E175" s="59"/>
      <c r="F175" s="59"/>
      <c r="G175" s="59"/>
    </row>
    <row r="176" ht="45.0" customHeight="1">
      <c r="A176" s="59"/>
      <c r="B176" s="59"/>
      <c r="C176" s="59"/>
      <c r="D176" s="59"/>
      <c r="E176" s="59"/>
      <c r="F176" s="59"/>
      <c r="G176" s="59"/>
    </row>
    <row r="177" ht="45.0" customHeight="1">
      <c r="A177" s="59"/>
      <c r="B177" s="59"/>
      <c r="C177" s="59"/>
      <c r="D177" s="59"/>
      <c r="E177" s="59"/>
      <c r="F177" s="59"/>
      <c r="G177" s="59"/>
    </row>
    <row r="178" ht="45.0" customHeight="1">
      <c r="A178" s="59"/>
      <c r="B178" s="59"/>
      <c r="C178" s="59"/>
      <c r="D178" s="59"/>
      <c r="E178" s="59"/>
      <c r="F178" s="59"/>
      <c r="G178" s="59"/>
    </row>
    <row r="179" ht="45.0" customHeight="1">
      <c r="A179" s="59"/>
      <c r="B179" s="59"/>
      <c r="C179" s="59"/>
      <c r="D179" s="59"/>
      <c r="E179" s="59"/>
      <c r="F179" s="59"/>
      <c r="G179" s="59"/>
    </row>
    <row r="180" ht="45.0" customHeight="1">
      <c r="A180" s="59"/>
      <c r="B180" s="59"/>
      <c r="C180" s="59"/>
      <c r="D180" s="59"/>
      <c r="E180" s="59"/>
      <c r="F180" s="59"/>
      <c r="G180" s="59"/>
    </row>
    <row r="181" ht="45.0" customHeight="1">
      <c r="A181" s="59"/>
      <c r="B181" s="59"/>
      <c r="C181" s="59"/>
      <c r="D181" s="59"/>
      <c r="E181" s="59"/>
      <c r="F181" s="59"/>
      <c r="G181" s="59"/>
    </row>
    <row r="182" ht="45.0" customHeight="1">
      <c r="A182" s="59"/>
      <c r="B182" s="59"/>
      <c r="C182" s="59"/>
      <c r="D182" s="59"/>
      <c r="E182" s="59"/>
      <c r="F182" s="59"/>
      <c r="G182" s="59"/>
    </row>
    <row r="183" ht="45.0" customHeight="1">
      <c r="A183" s="59"/>
      <c r="B183" s="59"/>
      <c r="C183" s="59"/>
      <c r="D183" s="59"/>
      <c r="E183" s="59"/>
      <c r="F183" s="59"/>
      <c r="G183" s="59"/>
    </row>
    <row r="184" ht="45.0" customHeight="1">
      <c r="A184" s="59"/>
      <c r="B184" s="59"/>
      <c r="C184" s="59"/>
      <c r="D184" s="59"/>
      <c r="E184" s="59"/>
      <c r="F184" s="59"/>
      <c r="G184" s="59"/>
    </row>
    <row r="185" ht="45.0" customHeight="1">
      <c r="A185" s="59"/>
      <c r="B185" s="59"/>
      <c r="C185" s="59"/>
      <c r="D185" s="59"/>
      <c r="E185" s="59"/>
      <c r="F185" s="59"/>
      <c r="G185" s="59"/>
    </row>
    <row r="186" ht="45.0" customHeight="1">
      <c r="A186" s="59"/>
      <c r="B186" s="59"/>
      <c r="C186" s="59"/>
      <c r="D186" s="59"/>
      <c r="E186" s="59"/>
      <c r="F186" s="59"/>
      <c r="G186" s="59"/>
    </row>
    <row r="187" ht="45.0" customHeight="1">
      <c r="A187" s="59"/>
      <c r="B187" s="59"/>
      <c r="C187" s="59"/>
      <c r="D187" s="59"/>
      <c r="E187" s="59"/>
      <c r="F187" s="59"/>
      <c r="G187" s="59"/>
    </row>
    <row r="188" ht="45.0" customHeight="1">
      <c r="A188" s="59"/>
      <c r="B188" s="59"/>
      <c r="C188" s="59"/>
      <c r="D188" s="59"/>
      <c r="E188" s="59"/>
      <c r="F188" s="59"/>
      <c r="G188" s="59"/>
    </row>
    <row r="189" ht="45.0" customHeight="1">
      <c r="A189" s="59"/>
      <c r="B189" s="59"/>
      <c r="C189" s="59"/>
      <c r="D189" s="59"/>
      <c r="E189" s="59"/>
      <c r="F189" s="59"/>
      <c r="G189" s="59"/>
    </row>
    <row r="190" ht="45.0" customHeight="1">
      <c r="A190" s="59"/>
      <c r="B190" s="59"/>
      <c r="C190" s="59"/>
      <c r="D190" s="59"/>
      <c r="E190" s="59"/>
      <c r="F190" s="59"/>
      <c r="G190" s="59"/>
    </row>
    <row r="191" ht="45.0" customHeight="1">
      <c r="A191" s="59"/>
      <c r="B191" s="59"/>
      <c r="C191" s="59"/>
      <c r="D191" s="59"/>
      <c r="E191" s="59"/>
      <c r="F191" s="59"/>
      <c r="G191" s="59"/>
    </row>
    <row r="192" ht="45.0" customHeight="1">
      <c r="A192" s="59"/>
      <c r="B192" s="59"/>
      <c r="C192" s="59"/>
      <c r="D192" s="59"/>
      <c r="E192" s="59"/>
      <c r="F192" s="59"/>
      <c r="G192" s="59"/>
    </row>
    <row r="193" ht="45.0" customHeight="1">
      <c r="A193" s="59"/>
      <c r="B193" s="59"/>
      <c r="C193" s="59"/>
      <c r="D193" s="59"/>
      <c r="E193" s="59"/>
      <c r="F193" s="59"/>
      <c r="G193" s="59"/>
    </row>
    <row r="194" ht="45.0" customHeight="1">
      <c r="A194" s="59"/>
      <c r="B194" s="59"/>
      <c r="C194" s="59"/>
      <c r="D194" s="59"/>
      <c r="E194" s="59"/>
      <c r="F194" s="59"/>
      <c r="G194" s="59"/>
    </row>
    <row r="195" ht="45.0" customHeight="1">
      <c r="A195" s="59"/>
      <c r="B195" s="59"/>
      <c r="C195" s="59"/>
      <c r="D195" s="59"/>
      <c r="E195" s="59"/>
      <c r="F195" s="59"/>
      <c r="G195" s="59"/>
    </row>
    <row r="196" ht="45.0" customHeight="1">
      <c r="A196" s="59"/>
      <c r="B196" s="59"/>
      <c r="C196" s="59"/>
      <c r="D196" s="59"/>
      <c r="E196" s="59"/>
      <c r="F196" s="59"/>
      <c r="G196" s="59"/>
    </row>
    <row r="197" ht="45.0" customHeight="1">
      <c r="A197" s="59"/>
      <c r="B197" s="59"/>
      <c r="C197" s="59"/>
      <c r="D197" s="59"/>
      <c r="E197" s="59"/>
      <c r="F197" s="59"/>
      <c r="G197" s="59"/>
    </row>
    <row r="198" ht="45.0" customHeight="1">
      <c r="A198" s="59"/>
      <c r="B198" s="59"/>
      <c r="C198" s="59"/>
      <c r="D198" s="59"/>
      <c r="E198" s="59"/>
      <c r="F198" s="59"/>
      <c r="G198" s="59"/>
    </row>
    <row r="199" ht="45.0" customHeight="1">
      <c r="A199" s="59"/>
      <c r="B199" s="59"/>
      <c r="C199" s="59"/>
      <c r="D199" s="59"/>
      <c r="E199" s="59"/>
      <c r="F199" s="59"/>
      <c r="G199" s="59"/>
    </row>
    <row r="200" ht="45.0" customHeight="1">
      <c r="A200" s="59"/>
      <c r="B200" s="59"/>
      <c r="C200" s="59"/>
      <c r="D200" s="59"/>
      <c r="E200" s="59"/>
      <c r="F200" s="59"/>
      <c r="G200" s="59"/>
    </row>
    <row r="201" ht="45.0" customHeight="1">
      <c r="A201" s="59"/>
      <c r="B201" s="59"/>
      <c r="C201" s="59"/>
      <c r="D201" s="59"/>
      <c r="E201" s="59"/>
      <c r="F201" s="59"/>
      <c r="G201" s="59"/>
    </row>
    <row r="202" ht="45.0" customHeight="1">
      <c r="A202" s="59"/>
      <c r="B202" s="59"/>
      <c r="C202" s="59"/>
      <c r="D202" s="59"/>
      <c r="E202" s="59"/>
      <c r="F202" s="59"/>
      <c r="G202" s="59"/>
    </row>
    <row r="203" ht="45.0" customHeight="1">
      <c r="A203" s="59"/>
      <c r="B203" s="59"/>
      <c r="C203" s="59"/>
      <c r="D203" s="59"/>
      <c r="E203" s="59"/>
      <c r="F203" s="59"/>
      <c r="G203" s="59"/>
    </row>
    <row r="204" ht="45.0" customHeight="1">
      <c r="A204" s="59"/>
      <c r="B204" s="59"/>
      <c r="C204" s="59"/>
      <c r="D204" s="59"/>
      <c r="E204" s="59"/>
      <c r="F204" s="59"/>
      <c r="G204" s="59"/>
    </row>
    <row r="205" ht="45.0" customHeight="1">
      <c r="A205" s="59"/>
      <c r="B205" s="59"/>
      <c r="C205" s="59"/>
      <c r="D205" s="59"/>
      <c r="E205" s="59"/>
      <c r="F205" s="59"/>
      <c r="G205" s="59"/>
    </row>
    <row r="206" ht="45.0" customHeight="1">
      <c r="A206" s="59"/>
      <c r="B206" s="59"/>
      <c r="C206" s="59"/>
      <c r="D206" s="59"/>
      <c r="E206" s="59"/>
      <c r="F206" s="59"/>
      <c r="G206" s="59"/>
    </row>
    <row r="207" ht="45.0" customHeight="1">
      <c r="A207" s="59"/>
      <c r="B207" s="59"/>
      <c r="C207" s="59"/>
      <c r="D207" s="59"/>
      <c r="E207" s="59"/>
      <c r="F207" s="59"/>
      <c r="G207" s="59"/>
    </row>
    <row r="208" ht="45.0" customHeight="1">
      <c r="A208" s="59"/>
      <c r="B208" s="59"/>
      <c r="C208" s="59"/>
      <c r="D208" s="59"/>
      <c r="E208" s="59"/>
      <c r="F208" s="59"/>
      <c r="G208" s="59"/>
    </row>
    <row r="209" ht="45.0" customHeight="1">
      <c r="A209" s="59"/>
      <c r="B209" s="59"/>
      <c r="C209" s="59"/>
      <c r="D209" s="59"/>
      <c r="E209" s="59"/>
      <c r="F209" s="59"/>
      <c r="G209" s="59"/>
    </row>
    <row r="210" ht="45.0" customHeight="1">
      <c r="A210" s="59"/>
      <c r="B210" s="59"/>
      <c r="C210" s="59"/>
      <c r="D210" s="59"/>
      <c r="E210" s="59"/>
      <c r="F210" s="59"/>
      <c r="G210" s="59"/>
    </row>
    <row r="211" ht="45.0" customHeight="1">
      <c r="A211" s="59"/>
      <c r="B211" s="59"/>
      <c r="C211" s="59"/>
      <c r="D211" s="59"/>
      <c r="E211" s="59"/>
      <c r="F211" s="59"/>
      <c r="G211" s="59"/>
    </row>
    <row r="212" ht="45.0" customHeight="1">
      <c r="A212" s="59"/>
      <c r="B212" s="59"/>
      <c r="C212" s="59"/>
      <c r="D212" s="59"/>
      <c r="E212" s="59"/>
      <c r="F212" s="59"/>
      <c r="G212" s="59"/>
    </row>
    <row r="213" ht="45.0" customHeight="1">
      <c r="A213" s="59"/>
      <c r="B213" s="59"/>
      <c r="C213" s="59"/>
      <c r="D213" s="59"/>
      <c r="E213" s="59"/>
      <c r="F213" s="59"/>
      <c r="G213" s="59"/>
    </row>
    <row r="214" ht="45.0" customHeight="1">
      <c r="A214" s="59"/>
      <c r="B214" s="59"/>
      <c r="C214" s="59"/>
      <c r="D214" s="59"/>
      <c r="E214" s="59"/>
      <c r="F214" s="59"/>
      <c r="G214" s="59"/>
    </row>
    <row r="215" ht="45.0" customHeight="1">
      <c r="A215" s="59"/>
      <c r="B215" s="59"/>
      <c r="C215" s="59"/>
      <c r="D215" s="59"/>
      <c r="E215" s="59"/>
      <c r="F215" s="59"/>
      <c r="G215" s="59"/>
    </row>
    <row r="216" ht="45.0" customHeight="1">
      <c r="A216" s="59"/>
      <c r="B216" s="59"/>
      <c r="C216" s="59"/>
      <c r="D216" s="59"/>
      <c r="E216" s="59"/>
      <c r="F216" s="59"/>
      <c r="G216" s="59"/>
    </row>
    <row r="217" ht="45.0" customHeight="1">
      <c r="A217" s="59"/>
      <c r="B217" s="59"/>
      <c r="C217" s="59"/>
      <c r="D217" s="59"/>
      <c r="E217" s="59"/>
      <c r="F217" s="59"/>
      <c r="G217" s="59"/>
    </row>
    <row r="218" ht="45.0" customHeight="1">
      <c r="A218" s="59"/>
      <c r="B218" s="59"/>
      <c r="C218" s="59"/>
      <c r="D218" s="59"/>
      <c r="E218" s="59"/>
      <c r="F218" s="59"/>
      <c r="G218" s="59"/>
    </row>
    <row r="219" ht="45.0" customHeight="1">
      <c r="A219" s="59"/>
      <c r="B219" s="59"/>
      <c r="C219" s="59"/>
      <c r="D219" s="59"/>
      <c r="E219" s="59"/>
      <c r="F219" s="59"/>
      <c r="G219" s="59"/>
    </row>
    <row r="220" ht="45.0" customHeight="1">
      <c r="A220" s="59"/>
      <c r="B220" s="59"/>
      <c r="C220" s="59"/>
      <c r="D220" s="59"/>
      <c r="E220" s="59"/>
      <c r="F220" s="59"/>
      <c r="G220" s="59"/>
    </row>
    <row r="221" ht="45.0" customHeight="1">
      <c r="A221" s="59"/>
      <c r="B221" s="59"/>
      <c r="C221" s="59"/>
      <c r="D221" s="59"/>
      <c r="E221" s="59"/>
      <c r="F221" s="59"/>
      <c r="G221" s="59"/>
    </row>
    <row r="222" ht="45.0" customHeight="1">
      <c r="A222" s="59"/>
      <c r="B222" s="59"/>
      <c r="C222" s="59"/>
      <c r="D222" s="59"/>
      <c r="E222" s="59"/>
      <c r="F222" s="59"/>
      <c r="G222" s="59"/>
    </row>
    <row r="223" ht="45.0" customHeight="1">
      <c r="A223" s="59"/>
      <c r="B223" s="59"/>
      <c r="C223" s="59"/>
      <c r="D223" s="59"/>
      <c r="E223" s="59"/>
      <c r="F223" s="59"/>
      <c r="G223" s="59"/>
    </row>
    <row r="224" ht="45.0" customHeight="1">
      <c r="A224" s="59"/>
      <c r="B224" s="59"/>
      <c r="C224" s="59"/>
      <c r="D224" s="59"/>
      <c r="E224" s="59"/>
      <c r="F224" s="59"/>
      <c r="G224" s="59"/>
    </row>
    <row r="225" ht="45.0" customHeight="1">
      <c r="A225" s="59"/>
      <c r="B225" s="59"/>
      <c r="C225" s="59"/>
      <c r="D225" s="59"/>
      <c r="E225" s="59"/>
      <c r="F225" s="59"/>
      <c r="G225" s="59"/>
    </row>
    <row r="226" ht="45.0" customHeight="1">
      <c r="A226" s="59"/>
      <c r="B226" s="59"/>
      <c r="C226" s="59"/>
      <c r="D226" s="59"/>
      <c r="E226" s="59"/>
      <c r="F226" s="59"/>
      <c r="G226" s="59"/>
    </row>
    <row r="227" ht="45.0" customHeight="1">
      <c r="A227" s="59"/>
      <c r="B227" s="59"/>
      <c r="C227" s="59"/>
      <c r="D227" s="59"/>
      <c r="E227" s="59"/>
      <c r="F227" s="59"/>
      <c r="G227" s="59"/>
    </row>
    <row r="228" ht="45.0" customHeight="1">
      <c r="A228" s="59"/>
      <c r="B228" s="59"/>
      <c r="C228" s="59"/>
      <c r="D228" s="59"/>
      <c r="E228" s="59"/>
      <c r="F228" s="59"/>
      <c r="G228" s="59"/>
    </row>
    <row r="229" ht="45.0" customHeight="1">
      <c r="A229" s="59"/>
      <c r="B229" s="59"/>
      <c r="C229" s="59"/>
      <c r="D229" s="59"/>
      <c r="E229" s="59"/>
      <c r="F229" s="59"/>
      <c r="G229" s="59"/>
    </row>
    <row r="230" ht="45.0" customHeight="1">
      <c r="A230" s="59"/>
      <c r="B230" s="59"/>
      <c r="C230" s="59"/>
      <c r="D230" s="59"/>
      <c r="E230" s="59"/>
      <c r="F230" s="59"/>
      <c r="G230" s="59"/>
    </row>
    <row r="231" ht="45.0" customHeight="1">
      <c r="A231" s="59"/>
      <c r="B231" s="59"/>
      <c r="C231" s="59"/>
      <c r="D231" s="59"/>
      <c r="E231" s="59"/>
      <c r="F231" s="59"/>
      <c r="G231" s="59"/>
    </row>
    <row r="232" ht="45.0" customHeight="1">
      <c r="A232" s="59"/>
      <c r="B232" s="59"/>
      <c r="C232" s="59"/>
      <c r="D232" s="59"/>
      <c r="E232" s="59"/>
      <c r="F232" s="59"/>
      <c r="G232" s="59"/>
    </row>
    <row r="233" ht="45.0" customHeight="1">
      <c r="A233" s="59"/>
      <c r="B233" s="59"/>
      <c r="C233" s="59"/>
      <c r="D233" s="59"/>
      <c r="E233" s="59"/>
      <c r="F233" s="59"/>
      <c r="G233" s="59"/>
    </row>
    <row r="234" ht="45.0" customHeight="1">
      <c r="A234" s="59"/>
      <c r="B234" s="59"/>
      <c r="C234" s="59"/>
      <c r="D234" s="59"/>
      <c r="E234" s="59"/>
      <c r="F234" s="59"/>
      <c r="G234" s="59"/>
    </row>
    <row r="235" ht="45.0" customHeight="1">
      <c r="A235" s="59"/>
      <c r="B235" s="59"/>
      <c r="C235" s="59"/>
      <c r="D235" s="59"/>
      <c r="E235" s="59"/>
      <c r="F235" s="59"/>
      <c r="G235" s="59"/>
    </row>
    <row r="236" ht="45.0" customHeight="1">
      <c r="A236" s="59"/>
      <c r="B236" s="59"/>
      <c r="C236" s="59"/>
      <c r="D236" s="59"/>
      <c r="E236" s="59"/>
      <c r="F236" s="59"/>
      <c r="G236" s="59"/>
    </row>
    <row r="237" ht="45.0" customHeight="1">
      <c r="A237" s="59"/>
      <c r="B237" s="59"/>
      <c r="C237" s="59"/>
      <c r="D237" s="59"/>
      <c r="E237" s="59"/>
      <c r="F237" s="59"/>
      <c r="G237" s="59"/>
    </row>
    <row r="238" ht="45.0" customHeight="1">
      <c r="A238" s="59"/>
      <c r="B238" s="59"/>
      <c r="C238" s="59"/>
      <c r="D238" s="59"/>
      <c r="E238" s="59"/>
      <c r="F238" s="59"/>
      <c r="G238" s="59"/>
    </row>
    <row r="239" ht="45.0" customHeight="1">
      <c r="A239" s="59"/>
      <c r="B239" s="59"/>
      <c r="C239" s="59"/>
      <c r="D239" s="59"/>
      <c r="E239" s="59"/>
      <c r="F239" s="59"/>
      <c r="G239" s="59"/>
    </row>
    <row r="240" ht="45.0" customHeight="1">
      <c r="A240" s="59"/>
      <c r="B240" s="59"/>
      <c r="C240" s="59"/>
      <c r="D240" s="59"/>
      <c r="E240" s="59"/>
      <c r="F240" s="59"/>
      <c r="G240" s="59"/>
    </row>
    <row r="241" ht="45.0" customHeight="1">
      <c r="A241" s="59"/>
      <c r="B241" s="59"/>
      <c r="C241" s="59"/>
      <c r="D241" s="59"/>
      <c r="E241" s="59"/>
      <c r="F241" s="59"/>
      <c r="G241" s="59"/>
    </row>
    <row r="242" ht="45.0" customHeight="1">
      <c r="A242" s="59"/>
      <c r="B242" s="59"/>
      <c r="C242" s="59"/>
      <c r="D242" s="59"/>
      <c r="E242" s="59"/>
      <c r="F242" s="59"/>
      <c r="G242" s="59"/>
    </row>
    <row r="243" ht="45.0" customHeight="1">
      <c r="A243" s="59"/>
      <c r="B243" s="59"/>
      <c r="C243" s="59"/>
      <c r="D243" s="59"/>
      <c r="E243" s="59"/>
      <c r="F243" s="59"/>
      <c r="G243" s="59"/>
    </row>
    <row r="244" ht="45.0" customHeight="1">
      <c r="A244" s="59"/>
      <c r="B244" s="59"/>
      <c r="C244" s="59"/>
      <c r="D244" s="59"/>
      <c r="E244" s="59"/>
      <c r="F244" s="59"/>
      <c r="G244" s="59"/>
    </row>
    <row r="245" ht="45.0" customHeight="1">
      <c r="A245" s="59"/>
      <c r="B245" s="59"/>
      <c r="C245" s="59"/>
      <c r="D245" s="59"/>
      <c r="E245" s="59"/>
      <c r="F245" s="59"/>
      <c r="G245" s="59"/>
    </row>
    <row r="246" ht="45.0" customHeight="1">
      <c r="A246" s="59"/>
      <c r="B246" s="59"/>
      <c r="C246" s="59"/>
      <c r="D246" s="59"/>
      <c r="E246" s="59"/>
      <c r="F246" s="59"/>
      <c r="G246" s="59"/>
    </row>
    <row r="247" ht="45.0" customHeight="1">
      <c r="A247" s="59"/>
      <c r="B247" s="59"/>
      <c r="C247" s="59"/>
      <c r="D247" s="59"/>
      <c r="E247" s="59"/>
      <c r="F247" s="59"/>
      <c r="G247" s="59"/>
    </row>
    <row r="248" ht="45.0" customHeight="1">
      <c r="A248" s="59"/>
      <c r="B248" s="59"/>
      <c r="C248" s="59"/>
      <c r="D248" s="59"/>
      <c r="E248" s="59"/>
      <c r="F248" s="59"/>
      <c r="G248" s="59"/>
    </row>
    <row r="249" ht="45.0" customHeight="1">
      <c r="A249" s="59"/>
      <c r="B249" s="59"/>
      <c r="C249" s="59"/>
      <c r="D249" s="59"/>
      <c r="E249" s="59"/>
      <c r="F249" s="59"/>
      <c r="G249" s="59"/>
    </row>
    <row r="250" ht="45.0" customHeight="1">
      <c r="A250" s="59"/>
      <c r="B250" s="59"/>
      <c r="C250" s="59"/>
      <c r="D250" s="59"/>
      <c r="E250" s="59"/>
      <c r="F250" s="59"/>
      <c r="G250" s="59"/>
    </row>
    <row r="251" ht="45.0" customHeight="1">
      <c r="A251" s="59"/>
      <c r="B251" s="59"/>
      <c r="C251" s="59"/>
      <c r="D251" s="59"/>
      <c r="E251" s="59"/>
      <c r="F251" s="59"/>
      <c r="G251" s="59"/>
    </row>
    <row r="252" ht="45.0" customHeight="1">
      <c r="A252" s="59"/>
      <c r="B252" s="59"/>
      <c r="C252" s="59"/>
      <c r="D252" s="59"/>
      <c r="E252" s="59"/>
      <c r="F252" s="59"/>
      <c r="G252" s="59"/>
    </row>
    <row r="253" ht="45.0" customHeight="1">
      <c r="A253" s="59"/>
      <c r="B253" s="59"/>
      <c r="C253" s="59"/>
      <c r="D253" s="59"/>
      <c r="E253" s="59"/>
      <c r="F253" s="59"/>
      <c r="G253" s="59"/>
    </row>
    <row r="254" ht="45.0" customHeight="1">
      <c r="A254" s="59"/>
      <c r="B254" s="59"/>
      <c r="C254" s="59"/>
      <c r="D254" s="59"/>
      <c r="E254" s="59"/>
      <c r="F254" s="59"/>
      <c r="G254" s="59"/>
    </row>
    <row r="255" ht="45.0" customHeight="1">
      <c r="A255" s="59"/>
      <c r="B255" s="59"/>
      <c r="C255" s="59"/>
      <c r="D255" s="59"/>
      <c r="E255" s="59"/>
      <c r="F255" s="59"/>
      <c r="G255" s="59"/>
    </row>
    <row r="256" ht="45.0" customHeight="1">
      <c r="A256" s="59"/>
      <c r="B256" s="59"/>
      <c r="C256" s="59"/>
      <c r="D256" s="59"/>
      <c r="E256" s="59"/>
      <c r="F256" s="59"/>
      <c r="G256" s="59"/>
    </row>
    <row r="257" ht="45.0" customHeight="1">
      <c r="A257" s="59"/>
      <c r="B257" s="59"/>
      <c r="C257" s="59"/>
      <c r="D257" s="59"/>
      <c r="E257" s="59"/>
      <c r="F257" s="59"/>
      <c r="G257" s="59"/>
    </row>
    <row r="258" ht="45.0" customHeight="1">
      <c r="A258" s="59"/>
      <c r="B258" s="59"/>
      <c r="C258" s="59"/>
      <c r="D258" s="59"/>
      <c r="E258" s="59"/>
      <c r="F258" s="59"/>
      <c r="G258" s="59"/>
    </row>
    <row r="259" ht="45.0" customHeight="1">
      <c r="A259" s="59"/>
      <c r="B259" s="59"/>
      <c r="C259" s="59"/>
      <c r="D259" s="59"/>
      <c r="E259" s="59"/>
      <c r="F259" s="59"/>
      <c r="G259" s="59"/>
    </row>
    <row r="260" ht="45.0" customHeight="1">
      <c r="A260" s="59"/>
      <c r="B260" s="59"/>
      <c r="C260" s="59"/>
      <c r="D260" s="59"/>
      <c r="E260" s="59"/>
      <c r="F260" s="59"/>
      <c r="G260" s="59"/>
    </row>
    <row r="261" ht="45.0" customHeight="1">
      <c r="A261" s="59"/>
      <c r="B261" s="59"/>
      <c r="C261" s="59"/>
      <c r="D261" s="59"/>
      <c r="E261" s="59"/>
      <c r="F261" s="59"/>
      <c r="G261" s="59"/>
    </row>
    <row r="262" ht="45.0" customHeight="1">
      <c r="A262" s="59"/>
      <c r="B262" s="59"/>
      <c r="C262" s="59"/>
      <c r="D262" s="59"/>
      <c r="E262" s="59"/>
      <c r="F262" s="59"/>
      <c r="G262" s="59"/>
    </row>
    <row r="263" ht="45.0" customHeight="1">
      <c r="A263" s="59"/>
      <c r="B263" s="59"/>
      <c r="C263" s="59"/>
      <c r="D263" s="59"/>
      <c r="E263" s="59"/>
      <c r="F263" s="59"/>
      <c r="G263" s="59"/>
    </row>
    <row r="264" ht="45.0" customHeight="1">
      <c r="A264" s="59"/>
      <c r="B264" s="59"/>
      <c r="C264" s="59"/>
      <c r="D264" s="59"/>
      <c r="E264" s="59"/>
      <c r="F264" s="59"/>
      <c r="G264" s="59"/>
    </row>
    <row r="265" ht="45.0" customHeight="1">
      <c r="A265" s="59"/>
      <c r="B265" s="59"/>
      <c r="C265" s="59"/>
      <c r="D265" s="59"/>
      <c r="E265" s="59"/>
      <c r="F265" s="59"/>
      <c r="G265" s="59"/>
    </row>
    <row r="266" ht="45.0" customHeight="1">
      <c r="A266" s="59"/>
      <c r="B266" s="59"/>
      <c r="C266" s="59"/>
      <c r="D266" s="59"/>
      <c r="E266" s="59"/>
      <c r="F266" s="59"/>
      <c r="G266" s="59"/>
    </row>
    <row r="267" ht="45.0" customHeight="1">
      <c r="A267" s="59"/>
      <c r="B267" s="59"/>
      <c r="C267" s="59"/>
      <c r="D267" s="59"/>
      <c r="E267" s="59"/>
      <c r="F267" s="59"/>
      <c r="G267" s="59"/>
    </row>
    <row r="268" ht="45.0" customHeight="1">
      <c r="A268" s="59"/>
      <c r="B268" s="59"/>
      <c r="C268" s="59"/>
      <c r="D268" s="59"/>
      <c r="E268" s="59"/>
      <c r="F268" s="59"/>
      <c r="G268" s="59"/>
    </row>
    <row r="269" ht="45.0" customHeight="1">
      <c r="A269" s="59"/>
      <c r="B269" s="59"/>
      <c r="C269" s="59"/>
      <c r="D269" s="59"/>
      <c r="E269" s="59"/>
      <c r="F269" s="59"/>
      <c r="G269" s="59"/>
    </row>
    <row r="270" ht="45.0" customHeight="1">
      <c r="A270" s="59"/>
      <c r="B270" s="59"/>
      <c r="C270" s="59"/>
      <c r="D270" s="59"/>
      <c r="E270" s="59"/>
      <c r="F270" s="59"/>
      <c r="G270" s="59"/>
    </row>
    <row r="271" ht="45.0" customHeight="1">
      <c r="A271" s="59"/>
      <c r="B271" s="59"/>
      <c r="C271" s="59"/>
      <c r="D271" s="59"/>
      <c r="E271" s="59"/>
      <c r="F271" s="59"/>
      <c r="G271" s="59"/>
    </row>
    <row r="272" ht="45.0" customHeight="1">
      <c r="A272" s="59"/>
      <c r="B272" s="59"/>
      <c r="C272" s="59"/>
      <c r="D272" s="59"/>
      <c r="E272" s="59"/>
      <c r="F272" s="59"/>
      <c r="G272" s="59"/>
    </row>
    <row r="273" ht="45.0" customHeight="1">
      <c r="A273" s="59"/>
      <c r="B273" s="59"/>
      <c r="C273" s="59"/>
      <c r="D273" s="59"/>
      <c r="E273" s="59"/>
      <c r="F273" s="59"/>
      <c r="G273" s="59"/>
    </row>
    <row r="274" ht="45.0" customHeight="1">
      <c r="A274" s="59"/>
      <c r="B274" s="59"/>
      <c r="C274" s="59"/>
      <c r="D274" s="59"/>
      <c r="E274" s="59"/>
      <c r="F274" s="59"/>
      <c r="G274" s="59"/>
    </row>
    <row r="275" ht="45.0" customHeight="1">
      <c r="A275" s="59"/>
      <c r="B275" s="59"/>
      <c r="C275" s="59"/>
      <c r="D275" s="59"/>
      <c r="E275" s="59"/>
      <c r="F275" s="59"/>
      <c r="G275" s="59"/>
    </row>
    <row r="276" ht="45.0" customHeight="1">
      <c r="A276" s="59"/>
      <c r="B276" s="59"/>
      <c r="C276" s="59"/>
      <c r="D276" s="59"/>
      <c r="E276" s="59"/>
      <c r="F276" s="59"/>
      <c r="G276" s="59"/>
    </row>
    <row r="277" ht="45.0" customHeight="1">
      <c r="A277" s="59"/>
      <c r="B277" s="59"/>
      <c r="C277" s="59"/>
      <c r="D277" s="59"/>
      <c r="E277" s="59"/>
      <c r="F277" s="59"/>
      <c r="G277" s="59"/>
    </row>
    <row r="278" ht="45.0" customHeight="1">
      <c r="A278" s="59"/>
      <c r="B278" s="59"/>
      <c r="C278" s="59"/>
      <c r="D278" s="59"/>
      <c r="E278" s="59"/>
      <c r="F278" s="59"/>
      <c r="G278" s="59"/>
    </row>
    <row r="279" ht="45.0" customHeight="1">
      <c r="A279" s="59"/>
      <c r="B279" s="59"/>
      <c r="C279" s="59"/>
      <c r="D279" s="59"/>
      <c r="E279" s="59"/>
      <c r="F279" s="59"/>
      <c r="G279" s="59"/>
    </row>
    <row r="280" ht="45.0" customHeight="1">
      <c r="A280" s="59"/>
      <c r="B280" s="59"/>
      <c r="C280" s="59"/>
      <c r="D280" s="59"/>
      <c r="E280" s="59"/>
      <c r="F280" s="59"/>
      <c r="G280" s="59"/>
    </row>
    <row r="281" ht="45.0" customHeight="1">
      <c r="A281" s="59"/>
      <c r="B281" s="59"/>
      <c r="C281" s="59"/>
      <c r="D281" s="59"/>
      <c r="E281" s="59"/>
      <c r="F281" s="59"/>
      <c r="G281" s="59"/>
    </row>
    <row r="282" ht="45.0" customHeight="1">
      <c r="A282" s="59"/>
      <c r="B282" s="59"/>
      <c r="C282" s="59"/>
      <c r="D282" s="59"/>
      <c r="E282" s="59"/>
      <c r="F282" s="59"/>
      <c r="G282" s="59"/>
    </row>
    <row r="283" ht="45.0" customHeight="1">
      <c r="A283" s="59"/>
      <c r="B283" s="59"/>
      <c r="C283" s="59"/>
      <c r="D283" s="59"/>
      <c r="E283" s="59"/>
      <c r="F283" s="59"/>
      <c r="G283" s="59"/>
    </row>
    <row r="284" ht="45.0" customHeight="1">
      <c r="A284" s="59"/>
      <c r="B284" s="59"/>
      <c r="C284" s="59"/>
      <c r="D284" s="59"/>
      <c r="E284" s="59"/>
      <c r="F284" s="59"/>
      <c r="G284" s="59"/>
    </row>
    <row r="285" ht="45.0" customHeight="1">
      <c r="A285" s="59"/>
      <c r="B285" s="59"/>
      <c r="C285" s="59"/>
      <c r="D285" s="59"/>
      <c r="E285" s="59"/>
      <c r="F285" s="59"/>
      <c r="G285" s="59"/>
    </row>
    <row r="286" ht="45.0" customHeight="1">
      <c r="A286" s="59"/>
      <c r="B286" s="59"/>
      <c r="C286" s="59"/>
      <c r="D286" s="59"/>
      <c r="E286" s="59"/>
      <c r="F286" s="59"/>
      <c r="G286" s="59"/>
    </row>
    <row r="287" ht="45.0" customHeight="1">
      <c r="A287" s="59"/>
      <c r="B287" s="59"/>
      <c r="C287" s="59"/>
      <c r="D287" s="59"/>
      <c r="E287" s="59"/>
      <c r="F287" s="59"/>
      <c r="G287" s="59"/>
    </row>
    <row r="288" ht="45.0" customHeight="1">
      <c r="A288" s="59"/>
      <c r="B288" s="59"/>
      <c r="C288" s="59"/>
      <c r="D288" s="59"/>
      <c r="E288" s="59"/>
      <c r="F288" s="59"/>
      <c r="G288" s="59"/>
    </row>
    <row r="289" ht="45.0" customHeight="1">
      <c r="A289" s="59"/>
      <c r="B289" s="59"/>
      <c r="C289" s="59"/>
      <c r="D289" s="59"/>
      <c r="E289" s="59"/>
      <c r="F289" s="59"/>
      <c r="G289" s="59"/>
    </row>
    <row r="290" ht="45.0" customHeight="1">
      <c r="A290" s="59"/>
      <c r="B290" s="59"/>
      <c r="C290" s="59"/>
      <c r="D290" s="59"/>
      <c r="E290" s="59"/>
      <c r="F290" s="59"/>
      <c r="G290" s="59"/>
    </row>
    <row r="291" ht="45.0" customHeight="1">
      <c r="A291" s="59"/>
      <c r="B291" s="59"/>
      <c r="C291" s="59"/>
      <c r="D291" s="59"/>
      <c r="E291" s="59"/>
      <c r="F291" s="59"/>
      <c r="G291" s="59"/>
    </row>
    <row r="292" ht="45.0" customHeight="1">
      <c r="A292" s="59"/>
      <c r="B292" s="59"/>
      <c r="C292" s="59"/>
      <c r="D292" s="59"/>
      <c r="E292" s="59"/>
      <c r="F292" s="59"/>
      <c r="G292" s="59"/>
    </row>
    <row r="293" ht="45.0" customHeight="1">
      <c r="A293" s="59"/>
      <c r="B293" s="59"/>
      <c r="C293" s="59"/>
      <c r="D293" s="59"/>
      <c r="E293" s="59"/>
      <c r="F293" s="59"/>
      <c r="G293" s="59"/>
    </row>
    <row r="294" ht="45.0" customHeight="1">
      <c r="A294" s="59"/>
      <c r="B294" s="59"/>
      <c r="C294" s="59"/>
      <c r="D294" s="59"/>
      <c r="E294" s="59"/>
      <c r="F294" s="59"/>
      <c r="G294" s="59"/>
    </row>
    <row r="295" ht="45.0" customHeight="1">
      <c r="A295" s="59"/>
      <c r="B295" s="59"/>
      <c r="C295" s="59"/>
      <c r="D295" s="59"/>
      <c r="E295" s="59"/>
      <c r="F295" s="59"/>
      <c r="G295" s="59"/>
    </row>
    <row r="296" ht="45.0" customHeight="1">
      <c r="A296" s="59"/>
      <c r="B296" s="59"/>
      <c r="C296" s="59"/>
      <c r="D296" s="59"/>
      <c r="E296" s="59"/>
      <c r="F296" s="59"/>
      <c r="G296" s="59"/>
    </row>
    <row r="297" ht="45.0" customHeight="1">
      <c r="A297" s="59"/>
      <c r="B297" s="59"/>
      <c r="C297" s="59"/>
      <c r="D297" s="59"/>
      <c r="E297" s="59"/>
      <c r="F297" s="59"/>
      <c r="G297" s="59"/>
    </row>
    <row r="298" ht="45.0" customHeight="1">
      <c r="A298" s="59"/>
      <c r="B298" s="59"/>
      <c r="C298" s="59"/>
      <c r="D298" s="59"/>
      <c r="E298" s="59"/>
      <c r="F298" s="59"/>
      <c r="G298" s="59"/>
    </row>
    <row r="299" ht="45.0" customHeight="1">
      <c r="A299" s="59"/>
      <c r="B299" s="59"/>
      <c r="C299" s="59"/>
      <c r="D299" s="59"/>
      <c r="E299" s="59"/>
      <c r="F299" s="59"/>
      <c r="G299" s="59"/>
    </row>
    <row r="300" ht="45.0" customHeight="1">
      <c r="A300" s="59"/>
      <c r="B300" s="59"/>
      <c r="C300" s="59"/>
      <c r="D300" s="59"/>
      <c r="E300" s="59"/>
      <c r="F300" s="59"/>
      <c r="G300" s="59"/>
    </row>
    <row r="301" ht="45.0" customHeight="1">
      <c r="A301" s="59"/>
      <c r="B301" s="59"/>
      <c r="C301" s="59"/>
      <c r="D301" s="59"/>
      <c r="E301" s="59"/>
      <c r="F301" s="59"/>
      <c r="G301" s="59"/>
    </row>
    <row r="302" ht="45.0" customHeight="1">
      <c r="A302" s="59"/>
      <c r="B302" s="59"/>
      <c r="C302" s="59"/>
      <c r="D302" s="59"/>
      <c r="E302" s="59"/>
      <c r="F302" s="59"/>
      <c r="G302" s="59"/>
    </row>
    <row r="303" ht="45.0" customHeight="1">
      <c r="A303" s="59"/>
      <c r="B303" s="59"/>
      <c r="C303" s="59"/>
      <c r="D303" s="59"/>
      <c r="E303" s="59"/>
      <c r="F303" s="59"/>
      <c r="G303" s="59"/>
    </row>
    <row r="304" ht="45.0" customHeight="1">
      <c r="A304" s="59"/>
      <c r="B304" s="59"/>
      <c r="C304" s="59"/>
      <c r="D304" s="59"/>
      <c r="E304" s="59"/>
      <c r="F304" s="59"/>
      <c r="G304" s="59"/>
    </row>
    <row r="305" ht="45.0" customHeight="1">
      <c r="A305" s="59"/>
      <c r="B305" s="59"/>
      <c r="C305" s="59"/>
      <c r="D305" s="59"/>
      <c r="E305" s="59"/>
      <c r="F305" s="59"/>
      <c r="G305" s="59"/>
    </row>
    <row r="306" ht="45.0" customHeight="1">
      <c r="A306" s="59"/>
      <c r="B306" s="59"/>
      <c r="C306" s="59"/>
      <c r="D306" s="59"/>
      <c r="E306" s="59"/>
      <c r="F306" s="59"/>
      <c r="G306" s="59"/>
    </row>
    <row r="307" ht="45.0" customHeight="1">
      <c r="A307" s="59"/>
      <c r="B307" s="59"/>
      <c r="C307" s="59"/>
      <c r="D307" s="59"/>
      <c r="E307" s="59"/>
      <c r="F307" s="59"/>
      <c r="G307" s="59"/>
    </row>
    <row r="308" ht="45.0" customHeight="1">
      <c r="A308" s="59"/>
      <c r="B308" s="59"/>
      <c r="C308" s="59"/>
      <c r="D308" s="59"/>
      <c r="E308" s="59"/>
      <c r="F308" s="59"/>
      <c r="G308" s="59"/>
    </row>
    <row r="309" ht="45.0" customHeight="1">
      <c r="A309" s="59"/>
      <c r="B309" s="59"/>
      <c r="C309" s="59"/>
      <c r="D309" s="59"/>
      <c r="E309" s="59"/>
      <c r="F309" s="59"/>
      <c r="G309" s="59"/>
    </row>
    <row r="310" ht="45.0" customHeight="1">
      <c r="A310" s="59"/>
      <c r="B310" s="59"/>
      <c r="C310" s="59"/>
      <c r="D310" s="59"/>
      <c r="E310" s="59"/>
      <c r="F310" s="59"/>
      <c r="G310" s="59"/>
    </row>
    <row r="311" ht="45.0" customHeight="1">
      <c r="A311" s="59"/>
      <c r="B311" s="59"/>
      <c r="C311" s="59"/>
      <c r="D311" s="59"/>
      <c r="E311" s="59"/>
      <c r="F311" s="59"/>
      <c r="G311" s="59"/>
    </row>
    <row r="312" ht="45.0" customHeight="1">
      <c r="A312" s="59"/>
      <c r="B312" s="59"/>
      <c r="C312" s="59"/>
      <c r="D312" s="59"/>
      <c r="E312" s="59"/>
      <c r="F312" s="59"/>
      <c r="G312" s="59"/>
    </row>
    <row r="313" ht="45.0" customHeight="1">
      <c r="A313" s="59"/>
      <c r="B313" s="59"/>
      <c r="C313" s="59"/>
      <c r="D313" s="59"/>
      <c r="E313" s="59"/>
      <c r="F313" s="59"/>
      <c r="G313" s="59"/>
    </row>
    <row r="314" ht="45.0" customHeight="1">
      <c r="A314" s="59"/>
      <c r="B314" s="59"/>
      <c r="C314" s="59"/>
      <c r="D314" s="59"/>
      <c r="E314" s="59"/>
      <c r="F314" s="59"/>
      <c r="G314" s="59"/>
    </row>
    <row r="315" ht="45.0" customHeight="1">
      <c r="A315" s="59"/>
      <c r="B315" s="59"/>
      <c r="C315" s="59"/>
      <c r="D315" s="59"/>
      <c r="E315" s="59"/>
      <c r="F315" s="59"/>
      <c r="G315" s="59"/>
    </row>
    <row r="316" ht="45.0" customHeight="1">
      <c r="A316" s="59"/>
      <c r="B316" s="59"/>
      <c r="C316" s="59"/>
      <c r="D316" s="59"/>
      <c r="E316" s="59"/>
      <c r="F316" s="59"/>
      <c r="G316" s="59"/>
    </row>
    <row r="317" ht="45.0" customHeight="1">
      <c r="A317" s="59"/>
      <c r="B317" s="59"/>
      <c r="C317" s="59"/>
      <c r="D317" s="59"/>
      <c r="E317" s="59"/>
      <c r="F317" s="59"/>
      <c r="G317" s="59"/>
    </row>
    <row r="318" ht="45.0" customHeight="1">
      <c r="A318" s="59"/>
      <c r="B318" s="59"/>
      <c r="C318" s="59"/>
      <c r="D318" s="59"/>
      <c r="E318" s="59"/>
      <c r="F318" s="59"/>
      <c r="G318" s="59"/>
    </row>
    <row r="319" ht="45.0" customHeight="1">
      <c r="A319" s="59"/>
      <c r="B319" s="59"/>
      <c r="C319" s="59"/>
      <c r="D319" s="59"/>
      <c r="E319" s="59"/>
      <c r="F319" s="59"/>
      <c r="G319" s="59"/>
    </row>
    <row r="320" ht="45.0" customHeight="1">
      <c r="A320" s="59"/>
      <c r="B320" s="59"/>
      <c r="C320" s="59"/>
      <c r="D320" s="59"/>
      <c r="E320" s="59"/>
      <c r="F320" s="59"/>
      <c r="G320" s="59"/>
    </row>
    <row r="321" ht="45.0" customHeight="1">
      <c r="A321" s="59"/>
      <c r="B321" s="59"/>
      <c r="C321" s="59"/>
      <c r="D321" s="59"/>
      <c r="E321" s="59"/>
      <c r="F321" s="59"/>
      <c r="G321" s="59"/>
    </row>
    <row r="322" ht="45.0" customHeight="1">
      <c r="A322" s="59"/>
      <c r="B322" s="59"/>
      <c r="C322" s="59"/>
      <c r="D322" s="59"/>
      <c r="E322" s="59"/>
      <c r="F322" s="59"/>
      <c r="G322" s="59"/>
    </row>
    <row r="323" ht="45.0" customHeight="1">
      <c r="A323" s="59"/>
      <c r="B323" s="59"/>
      <c r="C323" s="59"/>
      <c r="D323" s="59"/>
      <c r="E323" s="59"/>
      <c r="F323" s="59"/>
      <c r="G323" s="59"/>
    </row>
    <row r="324" ht="45.0" customHeight="1">
      <c r="A324" s="59"/>
      <c r="B324" s="59"/>
      <c r="C324" s="59"/>
      <c r="D324" s="59"/>
      <c r="E324" s="59"/>
      <c r="F324" s="59"/>
      <c r="G324" s="59"/>
    </row>
    <row r="325" ht="45.0" customHeight="1">
      <c r="A325" s="59"/>
      <c r="B325" s="59"/>
      <c r="C325" s="59"/>
      <c r="D325" s="59"/>
      <c r="E325" s="59"/>
      <c r="F325" s="59"/>
      <c r="G325" s="59"/>
    </row>
    <row r="326" ht="45.0" customHeight="1">
      <c r="A326" s="59"/>
      <c r="B326" s="59"/>
      <c r="C326" s="59"/>
      <c r="D326" s="59"/>
      <c r="E326" s="59"/>
      <c r="F326" s="59"/>
      <c r="G326" s="59"/>
    </row>
    <row r="327" ht="45.0" customHeight="1">
      <c r="A327" s="59"/>
      <c r="B327" s="59"/>
      <c r="C327" s="59"/>
      <c r="D327" s="59"/>
      <c r="E327" s="59"/>
      <c r="F327" s="59"/>
      <c r="G327" s="59"/>
    </row>
    <row r="328" ht="45.0" customHeight="1">
      <c r="A328" s="59"/>
      <c r="B328" s="59"/>
      <c r="C328" s="59"/>
      <c r="D328" s="59"/>
      <c r="E328" s="59"/>
      <c r="F328" s="59"/>
      <c r="G328" s="59"/>
    </row>
    <row r="329" ht="45.0" customHeight="1">
      <c r="A329" s="59"/>
      <c r="B329" s="59"/>
      <c r="C329" s="59"/>
      <c r="D329" s="59"/>
      <c r="E329" s="59"/>
      <c r="F329" s="59"/>
      <c r="G329" s="59"/>
    </row>
    <row r="330" ht="45.0" customHeight="1">
      <c r="A330" s="59"/>
      <c r="B330" s="59"/>
      <c r="C330" s="59"/>
      <c r="D330" s="59"/>
      <c r="E330" s="59"/>
      <c r="F330" s="59"/>
      <c r="G330" s="59"/>
    </row>
    <row r="331" ht="45.0" customHeight="1">
      <c r="A331" s="59"/>
      <c r="B331" s="59"/>
      <c r="C331" s="59"/>
      <c r="D331" s="59"/>
      <c r="E331" s="59"/>
      <c r="F331" s="59"/>
      <c r="G331" s="59"/>
    </row>
    <row r="332" ht="45.0" customHeight="1">
      <c r="A332" s="59"/>
      <c r="B332" s="59"/>
      <c r="C332" s="59"/>
      <c r="D332" s="59"/>
      <c r="E332" s="59"/>
      <c r="F332" s="59"/>
      <c r="G332" s="59"/>
    </row>
    <row r="333" ht="45.0" customHeight="1">
      <c r="A333" s="59"/>
      <c r="B333" s="59"/>
      <c r="C333" s="59"/>
      <c r="D333" s="59"/>
      <c r="E333" s="59"/>
      <c r="F333" s="59"/>
      <c r="G333" s="59"/>
    </row>
    <row r="334" ht="45.0" customHeight="1">
      <c r="A334" s="59"/>
      <c r="B334" s="59"/>
      <c r="C334" s="59"/>
      <c r="D334" s="59"/>
      <c r="E334" s="59"/>
      <c r="F334" s="59"/>
      <c r="G334" s="59"/>
    </row>
    <row r="335" ht="45.0" customHeight="1">
      <c r="A335" s="59"/>
      <c r="B335" s="59"/>
      <c r="C335" s="59"/>
      <c r="D335" s="59"/>
      <c r="E335" s="59"/>
      <c r="F335" s="59"/>
      <c r="G335" s="59"/>
    </row>
    <row r="336" ht="45.0" customHeight="1">
      <c r="A336" s="59"/>
      <c r="B336" s="59"/>
      <c r="C336" s="59"/>
      <c r="D336" s="59"/>
      <c r="E336" s="59"/>
      <c r="F336" s="59"/>
      <c r="G336" s="59"/>
    </row>
    <row r="337" ht="45.0" customHeight="1">
      <c r="A337" s="59"/>
      <c r="B337" s="59"/>
      <c r="C337" s="59"/>
      <c r="D337" s="59"/>
      <c r="E337" s="59"/>
      <c r="F337" s="59"/>
      <c r="G337" s="59"/>
    </row>
    <row r="338" ht="45.0" customHeight="1">
      <c r="A338" s="59"/>
      <c r="B338" s="59"/>
      <c r="C338" s="59"/>
      <c r="D338" s="59"/>
      <c r="E338" s="59"/>
      <c r="F338" s="59"/>
      <c r="G338" s="59"/>
    </row>
    <row r="339" ht="45.0" customHeight="1">
      <c r="A339" s="59"/>
      <c r="B339" s="59"/>
      <c r="C339" s="59"/>
      <c r="D339" s="59"/>
      <c r="E339" s="59"/>
      <c r="F339" s="59"/>
      <c r="G339" s="59"/>
    </row>
    <row r="340" ht="45.0" customHeight="1">
      <c r="A340" s="59"/>
      <c r="B340" s="59"/>
      <c r="C340" s="59"/>
      <c r="D340" s="59"/>
      <c r="E340" s="59"/>
      <c r="F340" s="59"/>
      <c r="G340" s="59"/>
    </row>
    <row r="341" ht="45.0" customHeight="1">
      <c r="A341" s="59"/>
      <c r="B341" s="59"/>
      <c r="C341" s="59"/>
      <c r="D341" s="59"/>
      <c r="E341" s="59"/>
      <c r="F341" s="59"/>
      <c r="G341" s="59"/>
    </row>
    <row r="342" ht="45.0" customHeight="1">
      <c r="A342" s="59"/>
      <c r="B342" s="59"/>
      <c r="C342" s="59"/>
      <c r="D342" s="59"/>
      <c r="E342" s="59"/>
      <c r="F342" s="59"/>
      <c r="G342" s="59"/>
    </row>
    <row r="343" ht="45.0" customHeight="1">
      <c r="A343" s="59"/>
      <c r="B343" s="59"/>
      <c r="C343" s="59"/>
      <c r="D343" s="59"/>
      <c r="E343" s="59"/>
      <c r="F343" s="59"/>
      <c r="G343" s="59"/>
    </row>
    <row r="344" ht="45.0" customHeight="1">
      <c r="A344" s="59"/>
      <c r="B344" s="59"/>
      <c r="C344" s="59"/>
      <c r="D344" s="59"/>
      <c r="E344" s="59"/>
      <c r="F344" s="59"/>
      <c r="G344" s="59"/>
    </row>
    <row r="345" ht="45.0" customHeight="1">
      <c r="A345" s="59"/>
      <c r="B345" s="59"/>
      <c r="C345" s="59"/>
      <c r="D345" s="59"/>
      <c r="E345" s="59"/>
      <c r="F345" s="59"/>
      <c r="G345" s="59"/>
    </row>
    <row r="346" ht="45.0" customHeight="1">
      <c r="A346" s="59"/>
      <c r="B346" s="59"/>
      <c r="C346" s="59"/>
      <c r="D346" s="59"/>
      <c r="E346" s="59"/>
      <c r="F346" s="59"/>
      <c r="G346" s="59"/>
    </row>
    <row r="347" ht="45.0" customHeight="1">
      <c r="A347" s="59"/>
      <c r="B347" s="59"/>
      <c r="C347" s="59"/>
      <c r="D347" s="59"/>
      <c r="E347" s="59"/>
      <c r="F347" s="59"/>
      <c r="G347" s="59"/>
    </row>
    <row r="348" ht="45.0" customHeight="1">
      <c r="A348" s="59"/>
      <c r="B348" s="59"/>
      <c r="C348" s="59"/>
      <c r="D348" s="59"/>
      <c r="E348" s="59"/>
      <c r="F348" s="59"/>
      <c r="G348" s="59"/>
    </row>
    <row r="349" ht="45.0" customHeight="1">
      <c r="A349" s="59"/>
      <c r="B349" s="59"/>
      <c r="C349" s="59"/>
      <c r="D349" s="59"/>
      <c r="E349" s="59"/>
      <c r="F349" s="59"/>
      <c r="G349" s="59"/>
    </row>
    <row r="350" ht="45.0" customHeight="1">
      <c r="A350" s="59"/>
      <c r="B350" s="59"/>
      <c r="C350" s="59"/>
      <c r="D350" s="59"/>
      <c r="E350" s="59"/>
      <c r="F350" s="59"/>
      <c r="G350" s="59"/>
    </row>
    <row r="351" ht="45.0" customHeight="1">
      <c r="A351" s="59"/>
      <c r="B351" s="59"/>
      <c r="C351" s="59"/>
      <c r="D351" s="59"/>
      <c r="E351" s="59"/>
      <c r="F351" s="59"/>
      <c r="G351" s="59"/>
    </row>
    <row r="352" ht="45.0" customHeight="1">
      <c r="A352" s="59"/>
      <c r="B352" s="59"/>
      <c r="C352" s="59"/>
      <c r="D352" s="59"/>
      <c r="E352" s="59"/>
      <c r="F352" s="59"/>
      <c r="G352" s="59"/>
    </row>
    <row r="353" ht="45.0" customHeight="1">
      <c r="A353" s="59"/>
      <c r="B353" s="59"/>
      <c r="C353" s="59"/>
      <c r="D353" s="59"/>
      <c r="E353" s="59"/>
      <c r="F353" s="59"/>
      <c r="G353" s="59"/>
    </row>
    <row r="354" ht="45.0" customHeight="1">
      <c r="A354" s="59"/>
      <c r="B354" s="59"/>
      <c r="C354" s="59"/>
      <c r="D354" s="59"/>
      <c r="E354" s="59"/>
      <c r="F354" s="59"/>
      <c r="G354" s="59"/>
    </row>
    <row r="355" ht="45.0" customHeight="1">
      <c r="A355" s="59"/>
      <c r="B355" s="59"/>
      <c r="C355" s="59"/>
      <c r="D355" s="59"/>
      <c r="E355" s="59"/>
      <c r="F355" s="59"/>
      <c r="G355" s="59"/>
    </row>
    <row r="356" ht="45.0" customHeight="1">
      <c r="A356" s="59"/>
      <c r="B356" s="59"/>
      <c r="C356" s="59"/>
      <c r="D356" s="59"/>
      <c r="E356" s="59"/>
      <c r="F356" s="59"/>
      <c r="G356" s="59"/>
    </row>
    <row r="357" ht="45.0" customHeight="1">
      <c r="A357" s="59"/>
      <c r="B357" s="59"/>
      <c r="C357" s="59"/>
      <c r="D357" s="59"/>
      <c r="E357" s="59"/>
      <c r="F357" s="59"/>
      <c r="G357" s="59"/>
    </row>
    <row r="358" ht="45.0" customHeight="1">
      <c r="A358" s="59"/>
      <c r="B358" s="59"/>
      <c r="C358" s="59"/>
      <c r="D358" s="59"/>
      <c r="E358" s="59"/>
      <c r="F358" s="59"/>
      <c r="G358" s="59"/>
    </row>
    <row r="359" ht="45.0" customHeight="1">
      <c r="A359" s="59"/>
      <c r="B359" s="59"/>
      <c r="C359" s="59"/>
      <c r="D359" s="59"/>
      <c r="E359" s="59"/>
      <c r="F359" s="59"/>
      <c r="G359" s="59"/>
    </row>
    <row r="360" ht="45.0" customHeight="1">
      <c r="A360" s="59"/>
      <c r="B360" s="59"/>
      <c r="C360" s="59"/>
      <c r="D360" s="59"/>
      <c r="E360" s="59"/>
      <c r="F360" s="59"/>
      <c r="G360" s="59"/>
    </row>
    <row r="361" ht="45.0" customHeight="1">
      <c r="A361" s="59"/>
      <c r="B361" s="59"/>
      <c r="C361" s="59"/>
      <c r="D361" s="59"/>
      <c r="E361" s="59"/>
      <c r="F361" s="59"/>
      <c r="G361" s="59"/>
    </row>
    <row r="362" ht="45.0" customHeight="1">
      <c r="A362" s="59"/>
      <c r="B362" s="59"/>
      <c r="C362" s="59"/>
      <c r="D362" s="59"/>
      <c r="E362" s="59"/>
      <c r="F362" s="59"/>
      <c r="G362" s="59"/>
    </row>
    <row r="363" ht="45.0" customHeight="1">
      <c r="A363" s="59"/>
      <c r="B363" s="59"/>
      <c r="C363" s="59"/>
      <c r="D363" s="59"/>
      <c r="E363" s="59"/>
      <c r="F363" s="59"/>
      <c r="G363" s="59"/>
    </row>
    <row r="364" ht="45.0" customHeight="1">
      <c r="A364" s="59"/>
      <c r="B364" s="59"/>
      <c r="C364" s="59"/>
      <c r="D364" s="59"/>
      <c r="E364" s="59"/>
      <c r="F364" s="59"/>
      <c r="G364" s="59"/>
    </row>
    <row r="365" ht="45.0" customHeight="1">
      <c r="A365" s="59"/>
      <c r="B365" s="59"/>
      <c r="C365" s="59"/>
      <c r="D365" s="59"/>
      <c r="E365" s="59"/>
      <c r="F365" s="59"/>
      <c r="G365" s="59"/>
    </row>
    <row r="366" ht="45.0" customHeight="1">
      <c r="A366" s="59"/>
      <c r="B366" s="59"/>
      <c r="C366" s="59"/>
      <c r="D366" s="59"/>
      <c r="E366" s="59"/>
      <c r="F366" s="59"/>
      <c r="G366" s="59"/>
    </row>
    <row r="367" ht="45.0" customHeight="1">
      <c r="A367" s="59"/>
      <c r="B367" s="59"/>
      <c r="C367" s="59"/>
      <c r="D367" s="59"/>
      <c r="E367" s="59"/>
      <c r="F367" s="59"/>
      <c r="G367" s="59"/>
    </row>
    <row r="368" ht="45.0" customHeight="1">
      <c r="A368" s="59"/>
      <c r="B368" s="59"/>
      <c r="C368" s="59"/>
      <c r="D368" s="59"/>
      <c r="E368" s="59"/>
      <c r="F368" s="59"/>
      <c r="G368" s="59"/>
    </row>
    <row r="369" ht="45.0" customHeight="1">
      <c r="A369" s="59"/>
      <c r="B369" s="59"/>
      <c r="C369" s="59"/>
      <c r="D369" s="59"/>
      <c r="E369" s="59"/>
      <c r="F369" s="59"/>
      <c r="G369" s="59"/>
    </row>
    <row r="370" ht="45.0" customHeight="1">
      <c r="A370" s="59"/>
      <c r="B370" s="59"/>
      <c r="C370" s="59"/>
      <c r="D370" s="59"/>
      <c r="E370" s="59"/>
      <c r="F370" s="59"/>
      <c r="G370" s="59"/>
    </row>
    <row r="371" ht="45.0" customHeight="1">
      <c r="A371" s="59"/>
      <c r="B371" s="59"/>
      <c r="C371" s="59"/>
      <c r="D371" s="59"/>
      <c r="E371" s="59"/>
      <c r="F371" s="59"/>
      <c r="G371" s="59"/>
    </row>
    <row r="372" ht="45.0" customHeight="1">
      <c r="A372" s="59"/>
      <c r="B372" s="59"/>
      <c r="C372" s="59"/>
      <c r="D372" s="59"/>
      <c r="E372" s="59"/>
      <c r="F372" s="59"/>
      <c r="G372" s="59"/>
    </row>
    <row r="373" ht="45.0" customHeight="1">
      <c r="A373" s="59"/>
      <c r="B373" s="59"/>
      <c r="C373" s="59"/>
      <c r="D373" s="59"/>
      <c r="E373" s="59"/>
      <c r="F373" s="59"/>
      <c r="G373" s="59"/>
    </row>
    <row r="374" ht="45.0" customHeight="1">
      <c r="A374" s="59"/>
      <c r="B374" s="59"/>
      <c r="C374" s="59"/>
      <c r="D374" s="59"/>
      <c r="E374" s="59"/>
      <c r="F374" s="59"/>
      <c r="G374" s="59"/>
    </row>
    <row r="375" ht="45.0" customHeight="1">
      <c r="A375" s="59"/>
      <c r="B375" s="59"/>
      <c r="C375" s="59"/>
      <c r="D375" s="59"/>
      <c r="E375" s="59"/>
      <c r="F375" s="59"/>
      <c r="G375" s="59"/>
    </row>
    <row r="376" ht="45.0" customHeight="1">
      <c r="A376" s="59"/>
      <c r="B376" s="59"/>
      <c r="C376" s="59"/>
      <c r="D376" s="59"/>
      <c r="E376" s="59"/>
      <c r="F376" s="59"/>
      <c r="G376" s="59"/>
    </row>
    <row r="377" ht="45.0" customHeight="1">
      <c r="A377" s="59"/>
      <c r="B377" s="59"/>
      <c r="C377" s="59"/>
      <c r="D377" s="59"/>
      <c r="E377" s="59"/>
      <c r="F377" s="59"/>
      <c r="G377" s="59"/>
    </row>
    <row r="378" ht="45.0" customHeight="1">
      <c r="A378" s="59"/>
      <c r="B378" s="59"/>
      <c r="C378" s="59"/>
      <c r="D378" s="59"/>
      <c r="E378" s="59"/>
      <c r="F378" s="59"/>
      <c r="G378" s="59"/>
    </row>
    <row r="379" ht="45.0" customHeight="1">
      <c r="A379" s="59"/>
      <c r="B379" s="59"/>
      <c r="C379" s="59"/>
      <c r="D379" s="59"/>
      <c r="E379" s="59"/>
      <c r="F379" s="59"/>
      <c r="G379" s="59"/>
    </row>
    <row r="380" ht="45.0" customHeight="1">
      <c r="A380" s="59"/>
      <c r="B380" s="59"/>
      <c r="C380" s="59"/>
      <c r="D380" s="59"/>
      <c r="E380" s="59"/>
      <c r="F380" s="59"/>
      <c r="G380" s="59"/>
    </row>
    <row r="381" ht="45.0" customHeight="1">
      <c r="A381" s="59"/>
      <c r="B381" s="59"/>
      <c r="C381" s="59"/>
      <c r="D381" s="59"/>
      <c r="E381" s="59"/>
      <c r="F381" s="59"/>
      <c r="G381" s="59"/>
    </row>
    <row r="382" ht="45.0" customHeight="1">
      <c r="A382" s="59"/>
      <c r="B382" s="59"/>
      <c r="C382" s="59"/>
      <c r="D382" s="59"/>
      <c r="E382" s="59"/>
      <c r="F382" s="59"/>
      <c r="G382" s="59"/>
    </row>
    <row r="383" ht="45.0" customHeight="1">
      <c r="A383" s="59"/>
      <c r="B383" s="59"/>
      <c r="C383" s="59"/>
      <c r="D383" s="59"/>
      <c r="E383" s="59"/>
      <c r="F383" s="59"/>
      <c r="G383" s="59"/>
    </row>
    <row r="384" ht="45.0" customHeight="1">
      <c r="A384" s="59"/>
      <c r="B384" s="59"/>
      <c r="C384" s="59"/>
      <c r="D384" s="59"/>
      <c r="E384" s="59"/>
      <c r="F384" s="59"/>
      <c r="G384" s="59"/>
    </row>
    <row r="385" ht="45.0" customHeight="1">
      <c r="A385" s="59"/>
      <c r="B385" s="59"/>
      <c r="C385" s="59"/>
      <c r="D385" s="59"/>
      <c r="E385" s="59"/>
      <c r="F385" s="59"/>
      <c r="G385" s="59"/>
    </row>
    <row r="386" ht="45.0" customHeight="1">
      <c r="A386" s="59"/>
      <c r="B386" s="59"/>
      <c r="C386" s="59"/>
      <c r="D386" s="59"/>
      <c r="E386" s="59"/>
      <c r="F386" s="59"/>
      <c r="G386" s="59"/>
    </row>
    <row r="387" ht="45.0" customHeight="1">
      <c r="A387" s="59"/>
      <c r="B387" s="59"/>
      <c r="C387" s="59"/>
      <c r="D387" s="59"/>
      <c r="E387" s="59"/>
      <c r="F387" s="59"/>
      <c r="G387" s="59"/>
    </row>
    <row r="388" ht="45.0" customHeight="1">
      <c r="A388" s="59"/>
      <c r="B388" s="59"/>
      <c r="C388" s="59"/>
      <c r="D388" s="59"/>
      <c r="E388" s="59"/>
      <c r="F388" s="59"/>
      <c r="G388" s="59"/>
    </row>
    <row r="389" ht="45.0" customHeight="1">
      <c r="A389" s="59"/>
      <c r="B389" s="59"/>
      <c r="C389" s="59"/>
      <c r="D389" s="59"/>
      <c r="E389" s="59"/>
      <c r="F389" s="59"/>
      <c r="G389" s="59"/>
    </row>
    <row r="390" ht="45.0" customHeight="1">
      <c r="A390" s="59"/>
      <c r="B390" s="59"/>
      <c r="C390" s="59"/>
      <c r="D390" s="59"/>
      <c r="E390" s="59"/>
      <c r="F390" s="59"/>
      <c r="G390" s="59"/>
    </row>
    <row r="391" ht="45.0" customHeight="1">
      <c r="A391" s="59"/>
      <c r="B391" s="59"/>
      <c r="C391" s="59"/>
      <c r="D391" s="59"/>
      <c r="E391" s="59"/>
      <c r="F391" s="59"/>
      <c r="G391" s="59"/>
    </row>
    <row r="392" ht="45.0" customHeight="1">
      <c r="A392" s="59"/>
      <c r="B392" s="59"/>
      <c r="C392" s="59"/>
      <c r="D392" s="59"/>
      <c r="E392" s="59"/>
      <c r="F392" s="59"/>
      <c r="G392" s="59"/>
    </row>
    <row r="393" ht="45.0" customHeight="1">
      <c r="A393" s="59"/>
      <c r="B393" s="59"/>
      <c r="C393" s="59"/>
      <c r="D393" s="59"/>
      <c r="E393" s="59"/>
      <c r="F393" s="59"/>
      <c r="G393" s="59"/>
    </row>
    <row r="394" ht="45.0" customHeight="1">
      <c r="A394" s="59"/>
      <c r="B394" s="59"/>
      <c r="C394" s="59"/>
      <c r="D394" s="59"/>
      <c r="E394" s="59"/>
      <c r="F394" s="59"/>
      <c r="G394" s="59"/>
    </row>
    <row r="395" ht="45.0" customHeight="1">
      <c r="A395" s="59"/>
      <c r="B395" s="59"/>
      <c r="C395" s="59"/>
      <c r="D395" s="59"/>
      <c r="E395" s="59"/>
      <c r="F395" s="59"/>
      <c r="G395" s="59"/>
    </row>
    <row r="396" ht="45.0" customHeight="1">
      <c r="A396" s="59"/>
      <c r="B396" s="59"/>
      <c r="C396" s="59"/>
      <c r="D396" s="59"/>
      <c r="E396" s="59"/>
      <c r="F396" s="59"/>
      <c r="G396" s="59"/>
    </row>
    <row r="397" ht="45.0" customHeight="1">
      <c r="A397" s="59"/>
      <c r="B397" s="59"/>
      <c r="C397" s="59"/>
      <c r="D397" s="59"/>
      <c r="E397" s="59"/>
      <c r="F397" s="59"/>
      <c r="G397" s="59"/>
    </row>
    <row r="398" ht="45.0" customHeight="1">
      <c r="A398" s="59"/>
      <c r="B398" s="59"/>
      <c r="C398" s="59"/>
      <c r="D398" s="59"/>
      <c r="E398" s="59"/>
      <c r="F398" s="59"/>
      <c r="G398" s="59"/>
    </row>
    <row r="399" ht="45.0" customHeight="1">
      <c r="A399" s="59"/>
      <c r="B399" s="59"/>
      <c r="C399" s="59"/>
      <c r="D399" s="59"/>
      <c r="E399" s="59"/>
      <c r="F399" s="59"/>
      <c r="G399" s="59"/>
    </row>
    <row r="400" ht="45.0" customHeight="1">
      <c r="A400" s="59"/>
      <c r="B400" s="59"/>
      <c r="C400" s="59"/>
      <c r="D400" s="59"/>
      <c r="E400" s="59"/>
      <c r="F400" s="59"/>
      <c r="G400" s="59"/>
    </row>
    <row r="401" ht="45.0" customHeight="1">
      <c r="A401" s="59"/>
      <c r="B401" s="59"/>
      <c r="C401" s="59"/>
      <c r="D401" s="59"/>
      <c r="E401" s="59"/>
      <c r="F401" s="59"/>
      <c r="G401" s="59"/>
    </row>
    <row r="402" ht="45.0" customHeight="1">
      <c r="A402" s="59"/>
      <c r="B402" s="59"/>
      <c r="C402" s="59"/>
      <c r="D402" s="59"/>
      <c r="E402" s="59"/>
      <c r="F402" s="59"/>
      <c r="G402" s="59"/>
    </row>
    <row r="403" ht="45.0" customHeight="1">
      <c r="A403" s="59"/>
      <c r="B403" s="59"/>
      <c r="C403" s="59"/>
      <c r="D403" s="59"/>
      <c r="E403" s="59"/>
      <c r="F403" s="59"/>
      <c r="G403" s="59"/>
    </row>
    <row r="404" ht="45.0" customHeight="1">
      <c r="A404" s="59"/>
      <c r="B404" s="59"/>
      <c r="C404" s="59"/>
      <c r="D404" s="59"/>
      <c r="E404" s="59"/>
      <c r="F404" s="59"/>
      <c r="G404" s="59"/>
    </row>
    <row r="405" ht="45.0" customHeight="1">
      <c r="A405" s="59"/>
      <c r="B405" s="59"/>
      <c r="C405" s="59"/>
      <c r="D405" s="59"/>
      <c r="E405" s="59"/>
      <c r="F405" s="59"/>
      <c r="G405" s="59"/>
    </row>
    <row r="406" ht="45.0" customHeight="1">
      <c r="A406" s="59"/>
      <c r="B406" s="59"/>
      <c r="C406" s="59"/>
      <c r="D406" s="59"/>
      <c r="E406" s="59"/>
      <c r="F406" s="59"/>
      <c r="G406" s="59"/>
    </row>
    <row r="407" ht="45.0" customHeight="1">
      <c r="A407" s="59"/>
      <c r="B407" s="59"/>
      <c r="C407" s="59"/>
      <c r="D407" s="59"/>
      <c r="E407" s="59"/>
      <c r="F407" s="59"/>
      <c r="G407" s="59"/>
    </row>
    <row r="408" ht="45.0" customHeight="1">
      <c r="A408" s="59"/>
      <c r="B408" s="59"/>
      <c r="C408" s="59"/>
      <c r="D408" s="59"/>
      <c r="E408" s="59"/>
      <c r="F408" s="59"/>
      <c r="G408" s="59"/>
    </row>
    <row r="409" ht="45.0" customHeight="1">
      <c r="A409" s="59"/>
      <c r="B409" s="59"/>
      <c r="C409" s="59"/>
      <c r="D409" s="59"/>
      <c r="E409" s="59"/>
      <c r="F409" s="59"/>
      <c r="G409" s="59"/>
    </row>
    <row r="410" ht="45.0" customHeight="1">
      <c r="A410" s="59"/>
      <c r="B410" s="59"/>
      <c r="C410" s="59"/>
      <c r="D410" s="59"/>
      <c r="E410" s="59"/>
      <c r="F410" s="59"/>
      <c r="G410" s="59"/>
    </row>
    <row r="411" ht="45.0" customHeight="1">
      <c r="A411" s="59"/>
      <c r="B411" s="59"/>
      <c r="C411" s="59"/>
      <c r="D411" s="59"/>
      <c r="E411" s="59"/>
      <c r="F411" s="59"/>
      <c r="G411" s="59"/>
    </row>
    <row r="412" ht="45.0" customHeight="1">
      <c r="A412" s="59"/>
      <c r="B412" s="59"/>
      <c r="C412" s="59"/>
      <c r="D412" s="59"/>
      <c r="E412" s="59"/>
      <c r="F412" s="59"/>
      <c r="G412" s="59"/>
    </row>
    <row r="413" ht="45.0" customHeight="1">
      <c r="A413" s="59"/>
      <c r="B413" s="59"/>
      <c r="C413" s="59"/>
      <c r="D413" s="59"/>
      <c r="E413" s="59"/>
      <c r="F413" s="59"/>
      <c r="G413" s="59"/>
    </row>
    <row r="414" ht="45.0" customHeight="1">
      <c r="A414" s="59"/>
      <c r="B414" s="59"/>
      <c r="C414" s="59"/>
      <c r="D414" s="59"/>
      <c r="E414" s="59"/>
      <c r="F414" s="59"/>
      <c r="G414" s="59"/>
    </row>
    <row r="415" ht="45.0" customHeight="1">
      <c r="A415" s="59"/>
      <c r="B415" s="59"/>
      <c r="C415" s="59"/>
      <c r="D415" s="59"/>
      <c r="E415" s="59"/>
      <c r="F415" s="59"/>
      <c r="G415" s="59"/>
    </row>
    <row r="416" ht="45.0" customHeight="1">
      <c r="A416" s="59"/>
      <c r="B416" s="59"/>
      <c r="C416" s="59"/>
      <c r="D416" s="59"/>
      <c r="E416" s="59"/>
      <c r="F416" s="59"/>
      <c r="G416" s="59"/>
    </row>
    <row r="417" ht="45.0" customHeight="1">
      <c r="A417" s="59"/>
      <c r="B417" s="59"/>
      <c r="C417" s="59"/>
      <c r="D417" s="59"/>
      <c r="E417" s="59"/>
      <c r="F417" s="59"/>
      <c r="G417" s="59"/>
    </row>
    <row r="418" ht="45.0" customHeight="1">
      <c r="A418" s="59"/>
      <c r="B418" s="59"/>
      <c r="C418" s="59"/>
      <c r="D418" s="59"/>
      <c r="E418" s="59"/>
      <c r="F418" s="59"/>
      <c r="G418" s="59"/>
    </row>
    <row r="419" ht="45.0" customHeight="1">
      <c r="A419" s="59"/>
      <c r="B419" s="59"/>
      <c r="C419" s="59"/>
      <c r="D419" s="59"/>
      <c r="E419" s="59"/>
      <c r="F419" s="59"/>
      <c r="G419" s="59"/>
    </row>
    <row r="420" ht="45.0" customHeight="1">
      <c r="A420" s="59"/>
      <c r="B420" s="59"/>
      <c r="C420" s="59"/>
      <c r="D420" s="59"/>
      <c r="E420" s="59"/>
      <c r="F420" s="59"/>
      <c r="G420" s="59"/>
    </row>
    <row r="421" ht="45.0" customHeight="1">
      <c r="A421" s="59"/>
      <c r="B421" s="59"/>
      <c r="C421" s="59"/>
      <c r="D421" s="59"/>
      <c r="E421" s="59"/>
      <c r="F421" s="59"/>
      <c r="G421" s="59"/>
    </row>
    <row r="422" ht="45.0" customHeight="1">
      <c r="A422" s="59"/>
      <c r="B422" s="59"/>
      <c r="C422" s="59"/>
      <c r="D422" s="59"/>
      <c r="E422" s="59"/>
      <c r="F422" s="59"/>
      <c r="G422" s="59"/>
    </row>
    <row r="423" ht="45.0" customHeight="1">
      <c r="A423" s="59"/>
      <c r="B423" s="59"/>
      <c r="C423" s="59"/>
      <c r="D423" s="59"/>
      <c r="E423" s="59"/>
      <c r="F423" s="59"/>
      <c r="G423" s="59"/>
    </row>
    <row r="424" ht="45.0" customHeight="1">
      <c r="A424" s="59"/>
      <c r="B424" s="59"/>
      <c r="C424" s="59"/>
      <c r="D424" s="59"/>
      <c r="E424" s="59"/>
      <c r="F424" s="59"/>
      <c r="G424" s="59"/>
    </row>
    <row r="425" ht="45.0" customHeight="1">
      <c r="A425" s="59"/>
      <c r="B425" s="59"/>
      <c r="C425" s="59"/>
      <c r="D425" s="59"/>
      <c r="E425" s="59"/>
      <c r="F425" s="59"/>
      <c r="G425" s="59"/>
    </row>
    <row r="426" ht="45.0" customHeight="1">
      <c r="A426" s="59"/>
      <c r="B426" s="59"/>
      <c r="C426" s="59"/>
      <c r="D426" s="59"/>
      <c r="E426" s="59"/>
      <c r="F426" s="59"/>
      <c r="G426" s="59"/>
    </row>
    <row r="427" ht="45.0" customHeight="1">
      <c r="A427" s="59"/>
      <c r="B427" s="59"/>
      <c r="C427" s="59"/>
      <c r="D427" s="59"/>
      <c r="E427" s="59"/>
      <c r="F427" s="59"/>
      <c r="G427" s="59"/>
    </row>
    <row r="428" ht="45.0" customHeight="1">
      <c r="A428" s="59"/>
      <c r="B428" s="59"/>
      <c r="C428" s="59"/>
      <c r="D428" s="59"/>
      <c r="E428" s="59"/>
      <c r="F428" s="59"/>
      <c r="G428" s="59"/>
    </row>
    <row r="429" ht="45.0" customHeight="1">
      <c r="A429" s="59"/>
      <c r="B429" s="59"/>
      <c r="C429" s="59"/>
      <c r="D429" s="59"/>
      <c r="E429" s="59"/>
      <c r="F429" s="59"/>
      <c r="G429" s="59"/>
    </row>
    <row r="430" ht="45.0" customHeight="1">
      <c r="A430" s="59"/>
      <c r="B430" s="59"/>
      <c r="C430" s="59"/>
      <c r="D430" s="59"/>
      <c r="E430" s="59"/>
      <c r="F430" s="59"/>
      <c r="G430" s="59"/>
    </row>
    <row r="431" ht="45.0" customHeight="1">
      <c r="A431" s="59"/>
      <c r="B431" s="59"/>
      <c r="C431" s="59"/>
      <c r="D431" s="59"/>
      <c r="E431" s="59"/>
      <c r="F431" s="59"/>
      <c r="G431" s="59"/>
    </row>
    <row r="432" ht="45.0" customHeight="1">
      <c r="A432" s="59"/>
      <c r="B432" s="59"/>
      <c r="C432" s="59"/>
      <c r="D432" s="59"/>
      <c r="E432" s="59"/>
      <c r="F432" s="59"/>
      <c r="G432" s="59"/>
    </row>
    <row r="433" ht="45.0" customHeight="1">
      <c r="A433" s="59"/>
      <c r="B433" s="59"/>
      <c r="C433" s="59"/>
      <c r="D433" s="59"/>
      <c r="E433" s="59"/>
      <c r="F433" s="59"/>
      <c r="G433" s="59"/>
    </row>
    <row r="434" ht="45.0" customHeight="1">
      <c r="A434" s="59"/>
      <c r="B434" s="59"/>
      <c r="C434" s="59"/>
      <c r="D434" s="59"/>
      <c r="E434" s="59"/>
      <c r="F434" s="59"/>
      <c r="G434" s="59"/>
    </row>
    <row r="435" ht="45.0" customHeight="1">
      <c r="A435" s="59"/>
      <c r="B435" s="59"/>
      <c r="C435" s="59"/>
      <c r="D435" s="59"/>
      <c r="E435" s="59"/>
      <c r="F435" s="59"/>
      <c r="G435" s="59"/>
    </row>
    <row r="436" ht="45.0" customHeight="1">
      <c r="A436" s="59"/>
      <c r="B436" s="59"/>
      <c r="C436" s="59"/>
      <c r="D436" s="59"/>
      <c r="E436" s="59"/>
      <c r="F436" s="59"/>
      <c r="G436" s="59"/>
    </row>
    <row r="437" ht="45.0" customHeight="1">
      <c r="A437" s="59"/>
      <c r="B437" s="59"/>
      <c r="C437" s="59"/>
      <c r="D437" s="59"/>
      <c r="E437" s="59"/>
      <c r="F437" s="59"/>
      <c r="G437" s="59"/>
    </row>
    <row r="438" ht="45.0" customHeight="1">
      <c r="A438" s="59"/>
      <c r="B438" s="59"/>
      <c r="C438" s="59"/>
      <c r="D438" s="59"/>
      <c r="E438" s="59"/>
      <c r="F438" s="59"/>
      <c r="G438" s="59"/>
    </row>
    <row r="439" ht="45.0" customHeight="1">
      <c r="A439" s="59"/>
      <c r="B439" s="59"/>
      <c r="C439" s="59"/>
      <c r="D439" s="59"/>
      <c r="E439" s="59"/>
      <c r="F439" s="59"/>
      <c r="G439" s="59"/>
    </row>
    <row r="440" ht="45.0" customHeight="1">
      <c r="A440" s="59"/>
      <c r="B440" s="59"/>
      <c r="C440" s="59"/>
      <c r="D440" s="59"/>
      <c r="E440" s="59"/>
      <c r="F440" s="59"/>
      <c r="G440" s="59"/>
    </row>
    <row r="441" ht="45.0" customHeight="1">
      <c r="A441" s="59"/>
      <c r="B441" s="59"/>
      <c r="C441" s="59"/>
      <c r="D441" s="59"/>
      <c r="E441" s="59"/>
      <c r="F441" s="59"/>
      <c r="G441" s="59"/>
    </row>
    <row r="442" ht="45.0" customHeight="1">
      <c r="A442" s="59"/>
      <c r="B442" s="59"/>
      <c r="C442" s="59"/>
      <c r="D442" s="59"/>
      <c r="E442" s="59"/>
      <c r="F442" s="59"/>
      <c r="G442" s="59"/>
    </row>
    <row r="443" ht="45.0" customHeight="1">
      <c r="A443" s="59"/>
      <c r="B443" s="59"/>
      <c r="C443" s="59"/>
      <c r="D443" s="59"/>
      <c r="E443" s="59"/>
      <c r="F443" s="59"/>
      <c r="G443" s="59"/>
    </row>
    <row r="444" ht="45.0" customHeight="1">
      <c r="A444" s="59"/>
      <c r="B444" s="59"/>
      <c r="C444" s="59"/>
      <c r="D444" s="59"/>
      <c r="E444" s="59"/>
      <c r="F444" s="59"/>
      <c r="G444" s="59"/>
    </row>
    <row r="445" ht="45.0" customHeight="1">
      <c r="A445" s="59"/>
      <c r="B445" s="59"/>
      <c r="C445" s="59"/>
      <c r="D445" s="59"/>
      <c r="E445" s="59"/>
      <c r="F445" s="59"/>
      <c r="G445" s="59"/>
    </row>
    <row r="446" ht="45.0" customHeight="1">
      <c r="A446" s="59"/>
      <c r="B446" s="59"/>
      <c r="C446" s="59"/>
      <c r="D446" s="59"/>
      <c r="E446" s="59"/>
      <c r="F446" s="59"/>
      <c r="G446" s="59"/>
    </row>
    <row r="447" ht="45.0" customHeight="1">
      <c r="A447" s="59"/>
      <c r="B447" s="59"/>
      <c r="C447" s="59"/>
      <c r="D447" s="59"/>
      <c r="E447" s="59"/>
      <c r="F447" s="59"/>
      <c r="G447" s="59"/>
    </row>
    <row r="448" ht="45.0" customHeight="1">
      <c r="A448" s="59"/>
      <c r="B448" s="59"/>
      <c r="C448" s="59"/>
      <c r="D448" s="59"/>
      <c r="E448" s="59"/>
      <c r="F448" s="59"/>
      <c r="G448" s="59"/>
    </row>
    <row r="449" ht="45.0" customHeight="1">
      <c r="A449" s="59"/>
      <c r="B449" s="59"/>
      <c r="C449" s="59"/>
      <c r="D449" s="59"/>
      <c r="E449" s="59"/>
      <c r="F449" s="59"/>
      <c r="G449" s="59"/>
    </row>
    <row r="450" ht="45.0" customHeight="1">
      <c r="A450" s="59"/>
      <c r="B450" s="59"/>
      <c r="C450" s="59"/>
      <c r="D450" s="59"/>
      <c r="E450" s="59"/>
      <c r="F450" s="59"/>
      <c r="G450" s="59"/>
    </row>
    <row r="451" ht="45.0" customHeight="1">
      <c r="A451" s="59"/>
      <c r="B451" s="59"/>
      <c r="C451" s="59"/>
      <c r="D451" s="59"/>
      <c r="E451" s="59"/>
      <c r="F451" s="59"/>
      <c r="G451" s="59"/>
    </row>
    <row r="452" ht="45.0" customHeight="1">
      <c r="A452" s="59"/>
      <c r="B452" s="59"/>
      <c r="C452" s="59"/>
      <c r="D452" s="59"/>
      <c r="E452" s="59"/>
      <c r="F452" s="59"/>
      <c r="G452" s="59"/>
    </row>
    <row r="453" ht="45.0" customHeight="1">
      <c r="A453" s="59"/>
      <c r="B453" s="59"/>
      <c r="C453" s="59"/>
      <c r="D453" s="59"/>
      <c r="E453" s="59"/>
      <c r="F453" s="59"/>
      <c r="G453" s="59"/>
    </row>
    <row r="454" ht="45.0" customHeight="1">
      <c r="A454" s="59"/>
      <c r="B454" s="59"/>
      <c r="C454" s="59"/>
      <c r="D454" s="59"/>
      <c r="E454" s="59"/>
      <c r="F454" s="59"/>
      <c r="G454" s="59"/>
    </row>
    <row r="455" ht="45.0" customHeight="1">
      <c r="A455" s="59"/>
      <c r="B455" s="59"/>
      <c r="C455" s="59"/>
      <c r="D455" s="59"/>
      <c r="E455" s="59"/>
      <c r="F455" s="59"/>
      <c r="G455" s="59"/>
    </row>
    <row r="456" ht="45.0" customHeight="1">
      <c r="A456" s="59"/>
      <c r="B456" s="59"/>
      <c r="C456" s="59"/>
      <c r="D456" s="59"/>
      <c r="E456" s="59"/>
      <c r="F456" s="59"/>
      <c r="G456" s="59"/>
    </row>
    <row r="457" ht="45.0" customHeight="1">
      <c r="A457" s="59"/>
      <c r="B457" s="59"/>
      <c r="C457" s="59"/>
      <c r="D457" s="59"/>
      <c r="E457" s="59"/>
      <c r="F457" s="59"/>
      <c r="G457" s="59"/>
    </row>
    <row r="458" ht="45.0" customHeight="1">
      <c r="A458" s="59"/>
      <c r="B458" s="59"/>
      <c r="C458" s="59"/>
      <c r="D458" s="59"/>
      <c r="E458" s="59"/>
      <c r="F458" s="59"/>
      <c r="G458" s="59"/>
    </row>
    <row r="459" ht="45.0" customHeight="1">
      <c r="A459" s="59"/>
      <c r="B459" s="59"/>
      <c r="C459" s="59"/>
      <c r="D459" s="59"/>
      <c r="E459" s="59"/>
      <c r="F459" s="59"/>
      <c r="G459" s="59"/>
    </row>
    <row r="460" ht="45.0" customHeight="1">
      <c r="A460" s="59"/>
      <c r="B460" s="59"/>
      <c r="C460" s="59"/>
      <c r="D460" s="59"/>
      <c r="E460" s="59"/>
      <c r="F460" s="59"/>
      <c r="G460" s="59"/>
    </row>
    <row r="461" ht="45.0" customHeight="1">
      <c r="A461" s="59"/>
      <c r="B461" s="59"/>
      <c r="C461" s="59"/>
      <c r="D461" s="59"/>
      <c r="E461" s="59"/>
      <c r="F461" s="59"/>
      <c r="G461" s="59"/>
    </row>
    <row r="462" ht="45.0" customHeight="1">
      <c r="A462" s="59"/>
      <c r="B462" s="59"/>
      <c r="C462" s="59"/>
      <c r="D462" s="59"/>
      <c r="E462" s="59"/>
      <c r="F462" s="59"/>
      <c r="G462" s="59"/>
    </row>
    <row r="463" ht="45.0" customHeight="1">
      <c r="A463" s="59"/>
      <c r="B463" s="59"/>
      <c r="C463" s="59"/>
      <c r="D463" s="59"/>
      <c r="E463" s="59"/>
      <c r="F463" s="59"/>
      <c r="G463" s="59"/>
    </row>
    <row r="464" ht="45.0" customHeight="1">
      <c r="A464" s="59"/>
      <c r="B464" s="59"/>
      <c r="C464" s="59"/>
      <c r="D464" s="59"/>
      <c r="E464" s="59"/>
      <c r="F464" s="59"/>
      <c r="G464" s="59"/>
    </row>
    <row r="465" ht="45.0" customHeight="1">
      <c r="A465" s="59"/>
      <c r="B465" s="59"/>
      <c r="C465" s="59"/>
      <c r="D465" s="59"/>
      <c r="E465" s="59"/>
      <c r="F465" s="59"/>
      <c r="G465" s="59"/>
    </row>
    <row r="466" ht="45.0" customHeight="1">
      <c r="A466" s="59"/>
      <c r="B466" s="59"/>
      <c r="C466" s="59"/>
      <c r="D466" s="59"/>
      <c r="E466" s="59"/>
      <c r="F466" s="59"/>
      <c r="G466" s="59"/>
    </row>
    <row r="467" ht="45.0" customHeight="1">
      <c r="A467" s="59"/>
      <c r="B467" s="59"/>
      <c r="C467" s="59"/>
      <c r="D467" s="59"/>
      <c r="E467" s="59"/>
      <c r="F467" s="59"/>
      <c r="G467" s="59"/>
    </row>
    <row r="468" ht="45.0" customHeight="1">
      <c r="A468" s="59"/>
      <c r="B468" s="59"/>
      <c r="C468" s="59"/>
      <c r="D468" s="59"/>
      <c r="E468" s="59"/>
      <c r="F468" s="59"/>
      <c r="G468" s="59"/>
    </row>
    <row r="469" ht="45.0" customHeight="1">
      <c r="A469" s="59"/>
      <c r="B469" s="59"/>
      <c r="C469" s="59"/>
      <c r="D469" s="59"/>
      <c r="E469" s="59"/>
      <c r="F469" s="59"/>
      <c r="G469" s="59"/>
    </row>
    <row r="470" ht="45.0" customHeight="1">
      <c r="A470" s="59"/>
      <c r="B470" s="59"/>
      <c r="C470" s="59"/>
      <c r="D470" s="59"/>
      <c r="E470" s="59"/>
      <c r="F470" s="59"/>
      <c r="G470" s="59"/>
    </row>
    <row r="471" ht="45.0" customHeight="1">
      <c r="A471" s="59"/>
      <c r="B471" s="59"/>
      <c r="C471" s="59"/>
      <c r="D471" s="59"/>
      <c r="E471" s="59"/>
      <c r="F471" s="59"/>
      <c r="G471" s="59"/>
    </row>
    <row r="472" ht="45.0" customHeight="1">
      <c r="A472" s="59"/>
      <c r="B472" s="59"/>
      <c r="C472" s="59"/>
      <c r="D472" s="59"/>
      <c r="E472" s="59"/>
      <c r="F472" s="59"/>
      <c r="G472" s="59"/>
    </row>
    <row r="473" ht="45.0" customHeight="1">
      <c r="A473" s="59"/>
      <c r="B473" s="59"/>
      <c r="C473" s="59"/>
      <c r="D473" s="59"/>
      <c r="E473" s="59"/>
      <c r="F473" s="59"/>
      <c r="G473" s="59"/>
    </row>
    <row r="474" ht="45.0" customHeight="1">
      <c r="A474" s="59"/>
      <c r="B474" s="59"/>
      <c r="C474" s="59"/>
      <c r="D474" s="59"/>
      <c r="E474" s="59"/>
      <c r="F474" s="59"/>
      <c r="G474" s="59"/>
    </row>
    <row r="475" ht="45.0" customHeight="1">
      <c r="A475" s="59"/>
      <c r="B475" s="59"/>
      <c r="C475" s="59"/>
      <c r="D475" s="59"/>
      <c r="E475" s="59"/>
      <c r="F475" s="59"/>
      <c r="G475" s="59"/>
    </row>
    <row r="476" ht="45.0" customHeight="1">
      <c r="A476" s="59"/>
      <c r="B476" s="59"/>
      <c r="C476" s="59"/>
      <c r="D476" s="59"/>
      <c r="E476" s="59"/>
      <c r="F476" s="59"/>
      <c r="G476" s="59"/>
    </row>
    <row r="477" ht="45.0" customHeight="1">
      <c r="A477" s="59"/>
      <c r="B477" s="59"/>
      <c r="C477" s="59"/>
      <c r="D477" s="59"/>
      <c r="E477" s="59"/>
      <c r="F477" s="59"/>
      <c r="G477" s="59"/>
    </row>
    <row r="478" ht="45.0" customHeight="1">
      <c r="A478" s="59"/>
      <c r="B478" s="59"/>
      <c r="C478" s="59"/>
      <c r="D478" s="59"/>
      <c r="E478" s="59"/>
      <c r="F478" s="59"/>
      <c r="G478" s="59"/>
    </row>
    <row r="479" ht="45.0" customHeight="1">
      <c r="A479" s="59"/>
      <c r="B479" s="59"/>
      <c r="C479" s="59"/>
      <c r="D479" s="59"/>
      <c r="E479" s="59"/>
      <c r="F479" s="59"/>
      <c r="G479" s="59"/>
    </row>
    <row r="480" ht="45.0" customHeight="1">
      <c r="A480" s="59"/>
      <c r="B480" s="59"/>
      <c r="C480" s="59"/>
      <c r="D480" s="59"/>
      <c r="E480" s="59"/>
      <c r="F480" s="59"/>
      <c r="G480" s="59"/>
    </row>
    <row r="481" ht="45.0" customHeight="1">
      <c r="A481" s="59"/>
      <c r="B481" s="59"/>
      <c r="C481" s="59"/>
      <c r="D481" s="59"/>
      <c r="E481" s="59"/>
      <c r="F481" s="59"/>
      <c r="G481" s="59"/>
    </row>
    <row r="482" ht="45.0" customHeight="1">
      <c r="A482" s="59"/>
      <c r="B482" s="59"/>
      <c r="C482" s="59"/>
      <c r="D482" s="59"/>
      <c r="E482" s="59"/>
      <c r="F482" s="59"/>
      <c r="G482" s="59"/>
    </row>
    <row r="483" ht="45.0" customHeight="1">
      <c r="A483" s="59"/>
      <c r="B483" s="59"/>
      <c r="C483" s="59"/>
      <c r="D483" s="59"/>
      <c r="E483" s="59"/>
      <c r="F483" s="59"/>
      <c r="G483" s="59"/>
    </row>
    <row r="484" ht="45.0" customHeight="1">
      <c r="A484" s="59"/>
      <c r="B484" s="59"/>
      <c r="C484" s="59"/>
      <c r="D484" s="59"/>
      <c r="E484" s="59"/>
      <c r="F484" s="59"/>
      <c r="G484" s="59"/>
    </row>
    <row r="485" ht="45.0" customHeight="1">
      <c r="A485" s="59"/>
      <c r="B485" s="59"/>
      <c r="C485" s="59"/>
      <c r="D485" s="59"/>
      <c r="E485" s="59"/>
      <c r="F485" s="59"/>
      <c r="G485" s="59"/>
    </row>
    <row r="486" ht="45.0" customHeight="1">
      <c r="A486" s="59"/>
      <c r="B486" s="59"/>
      <c r="C486" s="59"/>
      <c r="D486" s="59"/>
      <c r="E486" s="59"/>
      <c r="F486" s="59"/>
      <c r="G486" s="59"/>
    </row>
    <row r="487" ht="45.0" customHeight="1">
      <c r="A487" s="59"/>
      <c r="B487" s="59"/>
      <c r="C487" s="59"/>
      <c r="D487" s="59"/>
      <c r="E487" s="59"/>
      <c r="F487" s="59"/>
      <c r="G487" s="59"/>
    </row>
    <row r="488" ht="45.0" customHeight="1">
      <c r="A488" s="59"/>
      <c r="B488" s="59"/>
      <c r="C488" s="59"/>
      <c r="D488" s="59"/>
      <c r="E488" s="59"/>
      <c r="F488" s="59"/>
      <c r="G488" s="59"/>
    </row>
    <row r="489" ht="45.0" customHeight="1">
      <c r="A489" s="59"/>
      <c r="B489" s="59"/>
      <c r="C489" s="59"/>
      <c r="D489" s="59"/>
      <c r="E489" s="59"/>
      <c r="F489" s="59"/>
      <c r="G489" s="59"/>
    </row>
    <row r="490" ht="45.0" customHeight="1">
      <c r="A490" s="59"/>
      <c r="B490" s="59"/>
      <c r="C490" s="59"/>
      <c r="D490" s="59"/>
      <c r="E490" s="59"/>
      <c r="F490" s="59"/>
      <c r="G490" s="59"/>
    </row>
    <row r="491" ht="45.0" customHeight="1">
      <c r="A491" s="59"/>
      <c r="B491" s="59"/>
      <c r="C491" s="59"/>
      <c r="D491" s="59"/>
      <c r="E491" s="59"/>
      <c r="F491" s="59"/>
      <c r="G491" s="59"/>
    </row>
    <row r="492" ht="45.0" customHeight="1">
      <c r="A492" s="59"/>
      <c r="B492" s="59"/>
      <c r="C492" s="59"/>
      <c r="D492" s="59"/>
      <c r="E492" s="59"/>
      <c r="F492" s="59"/>
      <c r="G492" s="59"/>
    </row>
    <row r="493" ht="45.0" customHeight="1">
      <c r="A493" s="59"/>
      <c r="B493" s="59"/>
      <c r="C493" s="59"/>
      <c r="D493" s="59"/>
      <c r="E493" s="59"/>
      <c r="F493" s="59"/>
      <c r="G493" s="59"/>
    </row>
    <row r="494" ht="45.0" customHeight="1">
      <c r="A494" s="59"/>
      <c r="B494" s="59"/>
      <c r="C494" s="59"/>
      <c r="D494" s="59"/>
      <c r="E494" s="59"/>
      <c r="F494" s="59"/>
      <c r="G494" s="59"/>
    </row>
    <row r="495" ht="45.0" customHeight="1">
      <c r="A495" s="59"/>
      <c r="B495" s="59"/>
      <c r="C495" s="59"/>
      <c r="D495" s="59"/>
      <c r="E495" s="59"/>
      <c r="F495" s="59"/>
      <c r="G495" s="59"/>
    </row>
    <row r="496" ht="45.0" customHeight="1">
      <c r="A496" s="59"/>
      <c r="B496" s="59"/>
      <c r="C496" s="59"/>
      <c r="D496" s="59"/>
      <c r="E496" s="59"/>
      <c r="F496" s="59"/>
      <c r="G496" s="59"/>
    </row>
    <row r="497" ht="45.0" customHeight="1">
      <c r="A497" s="59"/>
      <c r="B497" s="59"/>
      <c r="C497" s="59"/>
      <c r="D497" s="59"/>
      <c r="E497" s="59"/>
      <c r="F497" s="59"/>
      <c r="G497" s="59"/>
    </row>
    <row r="498" ht="45.0" customHeight="1">
      <c r="A498" s="59"/>
      <c r="B498" s="59"/>
      <c r="C498" s="59"/>
      <c r="D498" s="59"/>
      <c r="E498" s="59"/>
      <c r="F498" s="59"/>
      <c r="G498" s="59"/>
    </row>
    <row r="499" ht="45.0" customHeight="1">
      <c r="A499" s="59"/>
      <c r="B499" s="59"/>
      <c r="C499" s="59"/>
      <c r="D499" s="59"/>
      <c r="E499" s="59"/>
      <c r="F499" s="59"/>
      <c r="G499" s="59"/>
    </row>
    <row r="500" ht="45.0" customHeight="1">
      <c r="A500" s="59"/>
      <c r="B500" s="59"/>
      <c r="C500" s="59"/>
      <c r="D500" s="59"/>
      <c r="E500" s="59"/>
      <c r="F500" s="59"/>
      <c r="G500" s="59"/>
    </row>
    <row r="501" ht="45.0" customHeight="1">
      <c r="A501" s="59"/>
      <c r="B501" s="59"/>
      <c r="C501" s="59"/>
      <c r="D501" s="59"/>
      <c r="E501" s="59"/>
      <c r="F501" s="59"/>
      <c r="G501" s="59"/>
    </row>
    <row r="502" ht="45.0" customHeight="1">
      <c r="A502" s="59"/>
      <c r="B502" s="59"/>
      <c r="C502" s="59"/>
      <c r="D502" s="59"/>
      <c r="E502" s="59"/>
      <c r="F502" s="59"/>
      <c r="G502" s="59"/>
    </row>
    <row r="503" ht="45.0" customHeight="1">
      <c r="A503" s="59"/>
      <c r="B503" s="59"/>
      <c r="C503" s="59"/>
      <c r="D503" s="59"/>
      <c r="E503" s="59"/>
      <c r="F503" s="59"/>
      <c r="G503" s="59"/>
    </row>
    <row r="504" ht="45.0" customHeight="1">
      <c r="A504" s="59"/>
      <c r="B504" s="59"/>
      <c r="C504" s="59"/>
      <c r="D504" s="59"/>
      <c r="E504" s="59"/>
      <c r="F504" s="59"/>
      <c r="G504" s="59"/>
    </row>
    <row r="505" ht="45.0" customHeight="1">
      <c r="A505" s="59"/>
      <c r="B505" s="59"/>
      <c r="C505" s="59"/>
      <c r="D505" s="59"/>
      <c r="E505" s="59"/>
      <c r="F505" s="59"/>
      <c r="G505" s="59"/>
    </row>
    <row r="506" ht="45.0" customHeight="1">
      <c r="A506" s="59"/>
      <c r="B506" s="59"/>
      <c r="C506" s="59"/>
      <c r="D506" s="59"/>
      <c r="E506" s="59"/>
      <c r="F506" s="59"/>
      <c r="G506" s="59"/>
    </row>
    <row r="507" ht="45.0" customHeight="1">
      <c r="A507" s="59"/>
      <c r="B507" s="59"/>
      <c r="C507" s="59"/>
      <c r="D507" s="59"/>
      <c r="E507" s="59"/>
      <c r="F507" s="59"/>
      <c r="G507" s="59"/>
    </row>
    <row r="508" ht="45.0" customHeight="1">
      <c r="A508" s="59"/>
      <c r="B508" s="59"/>
      <c r="C508" s="59"/>
      <c r="D508" s="59"/>
      <c r="E508" s="59"/>
      <c r="F508" s="59"/>
      <c r="G508" s="59"/>
    </row>
    <row r="509" ht="45.0" customHeight="1">
      <c r="A509" s="59"/>
      <c r="B509" s="59"/>
      <c r="C509" s="59"/>
      <c r="D509" s="59"/>
      <c r="E509" s="59"/>
      <c r="F509" s="59"/>
      <c r="G509" s="59"/>
    </row>
    <row r="510" ht="45.0" customHeight="1">
      <c r="A510" s="59"/>
      <c r="B510" s="59"/>
      <c r="C510" s="59"/>
      <c r="D510" s="59"/>
      <c r="E510" s="59"/>
      <c r="F510" s="59"/>
      <c r="G510" s="59"/>
    </row>
    <row r="511" ht="45.0" customHeight="1">
      <c r="A511" s="59"/>
      <c r="B511" s="59"/>
      <c r="C511" s="59"/>
      <c r="D511" s="59"/>
      <c r="E511" s="59"/>
      <c r="F511" s="59"/>
      <c r="G511" s="59"/>
    </row>
    <row r="512" ht="45.0" customHeight="1">
      <c r="A512" s="59"/>
      <c r="B512" s="59"/>
      <c r="C512" s="59"/>
      <c r="D512" s="59"/>
      <c r="E512" s="59"/>
      <c r="F512" s="59"/>
      <c r="G512" s="59"/>
    </row>
    <row r="513" ht="45.0" customHeight="1">
      <c r="A513" s="59"/>
      <c r="B513" s="59"/>
      <c r="C513" s="59"/>
      <c r="D513" s="59"/>
      <c r="E513" s="59"/>
      <c r="F513" s="59"/>
      <c r="G513" s="59"/>
    </row>
    <row r="514" ht="45.0" customHeight="1">
      <c r="A514" s="59"/>
      <c r="B514" s="59"/>
      <c r="C514" s="59"/>
      <c r="D514" s="59"/>
      <c r="E514" s="59"/>
      <c r="F514" s="59"/>
      <c r="G514" s="59"/>
    </row>
    <row r="515" ht="45.0" customHeight="1">
      <c r="A515" s="59"/>
      <c r="B515" s="59"/>
      <c r="C515" s="59"/>
      <c r="D515" s="59"/>
      <c r="E515" s="59"/>
      <c r="F515" s="59"/>
      <c r="G515" s="59"/>
    </row>
    <row r="516" ht="45.0" customHeight="1">
      <c r="A516" s="59"/>
      <c r="B516" s="59"/>
      <c r="C516" s="59"/>
      <c r="D516" s="59"/>
      <c r="E516" s="59"/>
      <c r="F516" s="59"/>
      <c r="G516" s="59"/>
    </row>
  </sheetData>
  <autoFilter ref="$A$7:$G$7"/>
  <mergeCells count="6">
    <mergeCell ref="A1:G1"/>
    <mergeCell ref="B2:G2"/>
    <mergeCell ref="B3:G3"/>
    <mergeCell ref="B4:G4"/>
    <mergeCell ref="B5:G5"/>
    <mergeCell ref="A6:G6"/>
  </mergeCells>
  <conditionalFormatting sqref="F8:F516">
    <cfRule type="cellIs" dxfId="4" priority="1" stopIfTrue="1" operator="equal">
      <formula>"Fail"</formula>
    </cfRule>
  </conditionalFormatting>
  <conditionalFormatting sqref="D8:D516">
    <cfRule type="containsText" dxfId="5" priority="2" operator="containsText" text="No issues found in this section">
      <formula>NOT(ISERROR(SEARCH(("No issues found in this section"),(D8))))</formula>
    </cfRule>
  </conditionalFormatting>
  <printOptions/>
  <pageMargins bottom="1.0" footer="0.0" header="0.0" left="0.75" right="0.75" top="1.0"/>
  <pageSetup orientation="landscape"/>
  <drawing r:id="rId1"/>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showGridLines="0" workbookViewId="0">
      <pane ySplit="2.0" topLeftCell="A3" activePane="bottomLeft" state="frozen"/>
      <selection activeCell="B4" sqref="B4" pane="bottomLeft"/>
    </sheetView>
  </sheetViews>
  <sheetFormatPr customHeight="1" defaultColWidth="14.43" defaultRowHeight="15.0"/>
  <cols>
    <col customWidth="1" min="1" max="1" width="5.14"/>
    <col customWidth="1" min="2" max="2" width="20.14"/>
    <col customWidth="1" min="3" max="3" width="14.71"/>
    <col customWidth="1" min="4" max="4" width="65.57"/>
    <col customWidth="1" min="5" max="5" width="20.0"/>
    <col customWidth="1" min="6" max="6" width="15.14"/>
    <col customWidth="1" min="7" max="7" width="82.14"/>
  </cols>
  <sheetData>
    <row r="1" ht="30.0" customHeight="1">
      <c r="A1" s="60" t="s">
        <v>16</v>
      </c>
      <c r="B1" s="61"/>
      <c r="C1" s="61"/>
      <c r="D1" s="61"/>
      <c r="E1" s="61"/>
      <c r="F1" s="61"/>
      <c r="G1" s="62"/>
    </row>
    <row r="2" ht="21.75" customHeight="1">
      <c r="A2" s="63" t="s">
        <v>55</v>
      </c>
      <c r="B2" s="63" t="s">
        <v>50</v>
      </c>
      <c r="C2" s="63" t="s">
        <v>26</v>
      </c>
      <c r="D2" s="63" t="s">
        <v>56</v>
      </c>
      <c r="E2" s="63" t="s">
        <v>52</v>
      </c>
      <c r="F2" s="63" t="s">
        <v>53</v>
      </c>
      <c r="G2" s="63" t="s">
        <v>54</v>
      </c>
    </row>
    <row r="3" ht="18.0" customHeight="1">
      <c r="A3" s="64" t="s">
        <v>57</v>
      </c>
      <c r="B3" s="2"/>
      <c r="C3" s="2"/>
      <c r="D3" s="2"/>
      <c r="E3" s="2"/>
      <c r="F3" s="2"/>
      <c r="G3" s="3"/>
    </row>
    <row r="4" ht="36.0" customHeight="1">
      <c r="A4" s="65">
        <v>1.0</v>
      </c>
      <c r="B4" s="65" t="s">
        <v>58</v>
      </c>
      <c r="C4" s="66" t="s">
        <v>32</v>
      </c>
      <c r="D4" s="56" t="s">
        <v>59</v>
      </c>
      <c r="E4" s="56" t="s">
        <v>60</v>
      </c>
      <c r="F4" s="67" t="s">
        <v>29</v>
      </c>
      <c r="G4" s="67" t="s">
        <v>61</v>
      </c>
    </row>
    <row r="5" ht="36.0" customHeight="1">
      <c r="A5" s="65">
        <v>2.0</v>
      </c>
      <c r="B5" s="65" t="s">
        <v>62</v>
      </c>
      <c r="C5" s="66" t="s">
        <v>32</v>
      </c>
      <c r="D5" s="56" t="s">
        <v>63</v>
      </c>
      <c r="E5" s="56" t="s">
        <v>60</v>
      </c>
      <c r="F5" s="67" t="s">
        <v>14</v>
      </c>
      <c r="G5" s="67"/>
    </row>
    <row r="6" ht="36.0" customHeight="1">
      <c r="A6" s="65">
        <v>3.0</v>
      </c>
      <c r="B6" s="65" t="s">
        <v>62</v>
      </c>
      <c r="C6" s="66" t="s">
        <v>32</v>
      </c>
      <c r="D6" s="56" t="s">
        <v>64</v>
      </c>
      <c r="E6" s="56" t="s">
        <v>60</v>
      </c>
      <c r="F6" s="67" t="s">
        <v>14</v>
      </c>
      <c r="G6" s="67"/>
    </row>
    <row r="7" ht="36.0" customHeight="1">
      <c r="A7" s="65">
        <v>4.0</v>
      </c>
      <c r="B7" s="65" t="s">
        <v>65</v>
      </c>
      <c r="C7" s="66" t="s">
        <v>32</v>
      </c>
      <c r="D7" s="56" t="s">
        <v>66</v>
      </c>
      <c r="E7" s="56" t="s">
        <v>60</v>
      </c>
      <c r="F7" s="67" t="s">
        <v>29</v>
      </c>
      <c r="G7" s="67" t="s">
        <v>67</v>
      </c>
    </row>
    <row r="8" ht="36.0" customHeight="1">
      <c r="A8" s="65">
        <v>5.0</v>
      </c>
      <c r="B8" s="65" t="s">
        <v>68</v>
      </c>
      <c r="C8" s="66" t="s">
        <v>32</v>
      </c>
      <c r="D8" s="56" t="s">
        <v>69</v>
      </c>
      <c r="E8" s="56" t="s">
        <v>60</v>
      </c>
      <c r="F8" s="67" t="s">
        <v>14</v>
      </c>
      <c r="G8" s="56"/>
    </row>
    <row r="9" ht="36.0" customHeight="1">
      <c r="A9" s="65">
        <v>6.0</v>
      </c>
      <c r="B9" s="65" t="s">
        <v>70</v>
      </c>
      <c r="C9" s="68" t="s">
        <v>33</v>
      </c>
      <c r="D9" s="56" t="s">
        <v>71</v>
      </c>
      <c r="E9" s="56" t="s">
        <v>60</v>
      </c>
      <c r="F9" s="67" t="s">
        <v>14</v>
      </c>
      <c r="G9" s="56"/>
    </row>
    <row r="10" ht="36.0" customHeight="1">
      <c r="A10" s="65">
        <v>7.0</v>
      </c>
      <c r="B10" s="65" t="s">
        <v>72</v>
      </c>
      <c r="C10" s="68" t="s">
        <v>33</v>
      </c>
      <c r="D10" s="56" t="s">
        <v>73</v>
      </c>
      <c r="E10" s="56" t="s">
        <v>60</v>
      </c>
      <c r="F10" s="67" t="s">
        <v>29</v>
      </c>
      <c r="G10" s="67" t="s">
        <v>74</v>
      </c>
    </row>
    <row r="11" ht="18.0" customHeight="1">
      <c r="A11" s="69" t="s">
        <v>75</v>
      </c>
      <c r="B11" s="19"/>
      <c r="C11" s="19"/>
      <c r="D11" s="19"/>
      <c r="E11" s="19"/>
      <c r="F11" s="19"/>
      <c r="G11" s="20"/>
    </row>
    <row r="12" ht="36.0" customHeight="1">
      <c r="A12" s="65">
        <v>8.0</v>
      </c>
      <c r="B12" s="65" t="s">
        <v>76</v>
      </c>
      <c r="C12" s="66" t="s">
        <v>32</v>
      </c>
      <c r="D12" s="56" t="s">
        <v>77</v>
      </c>
      <c r="E12" s="56" t="s">
        <v>60</v>
      </c>
      <c r="F12" s="67" t="s">
        <v>12</v>
      </c>
      <c r="G12" s="56"/>
    </row>
    <row r="13" ht="36.0" customHeight="1">
      <c r="A13" s="65">
        <v>9.0</v>
      </c>
      <c r="B13" s="65" t="s">
        <v>78</v>
      </c>
      <c r="C13" s="68" t="s">
        <v>33</v>
      </c>
      <c r="D13" s="56" t="s">
        <v>79</v>
      </c>
      <c r="E13" s="56" t="s">
        <v>60</v>
      </c>
      <c r="F13" s="67" t="s">
        <v>12</v>
      </c>
      <c r="G13" s="56"/>
    </row>
    <row r="14" ht="36.0" customHeight="1">
      <c r="A14" s="65">
        <v>10.0</v>
      </c>
      <c r="B14" s="65" t="s">
        <v>80</v>
      </c>
      <c r="C14" s="66" t="s">
        <v>32</v>
      </c>
      <c r="D14" s="56" t="s">
        <v>81</v>
      </c>
      <c r="E14" s="56" t="s">
        <v>60</v>
      </c>
      <c r="F14" s="67" t="s">
        <v>29</v>
      </c>
      <c r="G14" s="67" t="s">
        <v>82</v>
      </c>
    </row>
    <row r="15" ht="36.0" customHeight="1">
      <c r="A15" s="65">
        <v>11.0</v>
      </c>
      <c r="B15" s="65" t="s">
        <v>83</v>
      </c>
      <c r="C15" s="68" t="s">
        <v>33</v>
      </c>
      <c r="D15" s="56" t="s">
        <v>84</v>
      </c>
      <c r="E15" s="56" t="s">
        <v>60</v>
      </c>
      <c r="F15" s="67" t="s">
        <v>12</v>
      </c>
      <c r="G15" s="56"/>
    </row>
    <row r="16" ht="18.0" customHeight="1">
      <c r="A16" s="69" t="s">
        <v>85</v>
      </c>
      <c r="B16" s="19"/>
      <c r="C16" s="19"/>
      <c r="D16" s="19"/>
      <c r="E16" s="19"/>
      <c r="F16" s="19"/>
      <c r="G16" s="20"/>
    </row>
    <row r="17" ht="36.0" customHeight="1">
      <c r="A17" s="65">
        <v>12.0</v>
      </c>
      <c r="B17" s="65" t="s">
        <v>86</v>
      </c>
      <c r="C17" s="66" t="s">
        <v>32</v>
      </c>
      <c r="D17" s="56" t="s">
        <v>87</v>
      </c>
      <c r="E17" s="56" t="s">
        <v>88</v>
      </c>
      <c r="F17" s="67" t="s">
        <v>12</v>
      </c>
      <c r="G17" s="56"/>
    </row>
    <row r="18" ht="36.0" customHeight="1">
      <c r="A18" s="65">
        <v>13.0</v>
      </c>
      <c r="B18" s="65" t="s">
        <v>89</v>
      </c>
      <c r="C18" s="68" t="s">
        <v>33</v>
      </c>
      <c r="D18" s="56" t="s">
        <v>90</v>
      </c>
      <c r="E18" s="56" t="s">
        <v>91</v>
      </c>
      <c r="F18" s="67" t="s">
        <v>14</v>
      </c>
      <c r="G18" s="56"/>
    </row>
    <row r="19" ht="36.0" customHeight="1">
      <c r="A19" s="65">
        <v>14.0</v>
      </c>
      <c r="B19" s="65" t="s">
        <v>92</v>
      </c>
      <c r="C19" s="68" t="s">
        <v>33</v>
      </c>
      <c r="D19" s="56" t="s">
        <v>93</v>
      </c>
      <c r="E19" s="56" t="s">
        <v>60</v>
      </c>
      <c r="F19" s="67" t="s">
        <v>29</v>
      </c>
      <c r="G19" s="67" t="s">
        <v>94</v>
      </c>
    </row>
    <row r="20" ht="36.0" customHeight="1">
      <c r="A20" s="65">
        <v>15.0</v>
      </c>
      <c r="B20" s="65" t="s">
        <v>95</v>
      </c>
      <c r="C20" s="66" t="s">
        <v>32</v>
      </c>
      <c r="D20" s="56" t="s">
        <v>96</v>
      </c>
      <c r="E20" s="56" t="s">
        <v>60</v>
      </c>
      <c r="F20" s="67" t="s">
        <v>12</v>
      </c>
      <c r="G20" s="56"/>
    </row>
    <row r="21" ht="36.0" customHeight="1">
      <c r="A21" s="65">
        <v>16.0</v>
      </c>
      <c r="B21" s="65" t="s">
        <v>97</v>
      </c>
      <c r="C21" s="66" t="s">
        <v>32</v>
      </c>
      <c r="D21" s="56" t="s">
        <v>98</v>
      </c>
      <c r="E21" s="56" t="s">
        <v>60</v>
      </c>
      <c r="F21" s="67" t="s">
        <v>12</v>
      </c>
      <c r="G21" s="56"/>
    </row>
    <row r="22" ht="36.0" customHeight="1">
      <c r="A22" s="65">
        <v>17.0</v>
      </c>
      <c r="B22" s="65" t="s">
        <v>99</v>
      </c>
      <c r="C22" s="66" t="s">
        <v>32</v>
      </c>
      <c r="D22" s="56" t="s">
        <v>100</v>
      </c>
      <c r="E22" s="56" t="s">
        <v>60</v>
      </c>
      <c r="F22" s="67" t="s">
        <v>12</v>
      </c>
      <c r="G22" s="56"/>
    </row>
    <row r="23" ht="36.0" customHeight="1">
      <c r="A23" s="65">
        <v>18.0</v>
      </c>
      <c r="B23" s="65" t="s">
        <v>101</v>
      </c>
      <c r="C23" s="68" t="s">
        <v>33</v>
      </c>
      <c r="D23" s="56" t="s">
        <v>102</v>
      </c>
      <c r="E23" s="56" t="s">
        <v>60</v>
      </c>
      <c r="F23" s="67" t="s">
        <v>12</v>
      </c>
      <c r="G23" s="56"/>
    </row>
    <row r="24" ht="36.0" customHeight="1">
      <c r="A24" s="65">
        <v>19.0</v>
      </c>
      <c r="B24" s="65" t="s">
        <v>103</v>
      </c>
      <c r="C24" s="70" t="s">
        <v>34</v>
      </c>
      <c r="D24" s="56" t="s">
        <v>104</v>
      </c>
      <c r="E24" s="56" t="s">
        <v>60</v>
      </c>
      <c r="F24" s="67" t="s">
        <v>29</v>
      </c>
      <c r="G24" s="67" t="s">
        <v>105</v>
      </c>
    </row>
  </sheetData>
  <autoFilter ref="$A$2:$G$24"/>
  <mergeCells count="4">
    <mergeCell ref="A1:G1"/>
    <mergeCell ref="A3:G3"/>
    <mergeCell ref="A11:G11"/>
    <mergeCell ref="A16:G16"/>
  </mergeCells>
  <conditionalFormatting sqref="F3:F24">
    <cfRule type="cellIs" dxfId="6" priority="1" operator="equal">
      <formula>"Pass"</formula>
    </cfRule>
  </conditionalFormatting>
  <conditionalFormatting sqref="F3:F24">
    <cfRule type="cellIs" dxfId="7" priority="2" operator="equal">
      <formula>"Fail"</formula>
    </cfRule>
  </conditionalFormatting>
  <conditionalFormatting sqref="F3:F24">
    <cfRule type="cellIs" dxfId="8" priority="3" stopIfTrue="1" operator="equal">
      <formula>"N/A"</formula>
    </cfRule>
  </conditionalFormatting>
  <conditionalFormatting sqref="F3:F24">
    <cfRule type="cellIs" dxfId="9" priority="4" operator="equal">
      <formula>"Not Tested"</formula>
    </cfRule>
  </conditionalFormatting>
  <dataValidations>
    <dataValidation type="list" allowBlank="1" showInputMessage="1" showErrorMessage="1" prompt="Invalid status - Please choose: Pass, Fail, N/A, or Not Tested" sqref="F4:F10 F12:F15 F17:F24">
      <formula1>"Pass,Fail,N/A,Not Tested"</formula1>
    </dataValidation>
  </dataValidations>
  <printOptions/>
  <pageMargins bottom="1.0" footer="0.0" header="0.0" left="0.75" right="0.75" top="1.0"/>
  <pageSetup orientation="landscape"/>
  <drawing r:id="rId2"/>
  <legacyDrawing r:id="rId3"/>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showGridLines="0" workbookViewId="0">
      <pane ySplit="2.0" topLeftCell="A3" activePane="bottomLeft" state="frozen"/>
      <selection activeCell="B4" sqref="B4" pane="bottomLeft"/>
    </sheetView>
  </sheetViews>
  <sheetFormatPr customHeight="1" defaultColWidth="14.43" defaultRowHeight="15.0"/>
  <cols>
    <col customWidth="1" min="1" max="1" width="5.0"/>
    <col customWidth="1" min="2" max="2" width="20.0"/>
    <col customWidth="1" min="3" max="3" width="14.29"/>
    <col customWidth="1" min="4" max="4" width="64.86"/>
    <col customWidth="1" min="5" max="5" width="20.0"/>
    <col customWidth="1" min="6" max="6" width="14.0"/>
    <col customWidth="1" min="7" max="7" width="74.71"/>
  </cols>
  <sheetData>
    <row r="1" ht="30.0" customHeight="1">
      <c r="A1" s="71" t="s">
        <v>17</v>
      </c>
      <c r="B1" s="19"/>
      <c r="C1" s="19"/>
      <c r="D1" s="19"/>
      <c r="E1" s="19"/>
      <c r="F1" s="19"/>
      <c r="G1" s="20"/>
    </row>
    <row r="2" ht="21.75" customHeight="1">
      <c r="A2" s="72" t="s">
        <v>55</v>
      </c>
      <c r="B2" s="72" t="s">
        <v>50</v>
      </c>
      <c r="C2" s="72" t="s">
        <v>26</v>
      </c>
      <c r="D2" s="72" t="s">
        <v>56</v>
      </c>
      <c r="E2" s="72" t="s">
        <v>52</v>
      </c>
      <c r="F2" s="72" t="s">
        <v>53</v>
      </c>
      <c r="G2" s="72" t="s">
        <v>54</v>
      </c>
    </row>
    <row r="3" ht="18.0" customHeight="1">
      <c r="A3" s="73" t="s">
        <v>106</v>
      </c>
      <c r="B3" s="19"/>
      <c r="C3" s="19"/>
      <c r="D3" s="19"/>
      <c r="E3" s="19"/>
      <c r="F3" s="19"/>
      <c r="G3" s="20"/>
    </row>
    <row r="4" ht="36.0" customHeight="1">
      <c r="A4" s="65">
        <v>1.0</v>
      </c>
      <c r="B4" s="65" t="s">
        <v>107</v>
      </c>
      <c r="C4" s="66" t="s">
        <v>32</v>
      </c>
      <c r="D4" s="56" t="s">
        <v>108</v>
      </c>
      <c r="E4" s="56" t="s">
        <v>109</v>
      </c>
      <c r="F4" s="67" t="s">
        <v>12</v>
      </c>
      <c r="G4" s="56"/>
    </row>
    <row r="5" ht="36.0" customHeight="1">
      <c r="A5" s="65">
        <v>2.0</v>
      </c>
      <c r="B5" s="65" t="s">
        <v>110</v>
      </c>
      <c r="C5" s="68" t="s">
        <v>33</v>
      </c>
      <c r="D5" s="56" t="s">
        <v>111</v>
      </c>
      <c r="E5" s="56" t="s">
        <v>109</v>
      </c>
      <c r="F5" s="67" t="s">
        <v>12</v>
      </c>
      <c r="G5" s="56"/>
    </row>
    <row r="6" ht="36.0" customHeight="1">
      <c r="A6" s="65">
        <v>3.0</v>
      </c>
      <c r="B6" s="65" t="s">
        <v>112</v>
      </c>
      <c r="C6" s="68" t="s">
        <v>33</v>
      </c>
      <c r="D6" s="56" t="s">
        <v>113</v>
      </c>
      <c r="E6" s="56" t="s">
        <v>109</v>
      </c>
      <c r="F6" s="67" t="s">
        <v>12</v>
      </c>
      <c r="G6" s="56"/>
    </row>
    <row r="7" ht="18.0" customHeight="1">
      <c r="A7" s="69" t="s">
        <v>114</v>
      </c>
      <c r="B7" s="19"/>
      <c r="C7" s="19"/>
      <c r="D7" s="19"/>
      <c r="E7" s="19"/>
      <c r="F7" s="19"/>
      <c r="G7" s="20"/>
    </row>
    <row r="8" ht="36.0" customHeight="1">
      <c r="A8" s="65">
        <v>4.0</v>
      </c>
      <c r="B8" s="65" t="s">
        <v>115</v>
      </c>
      <c r="C8" s="66" t="s">
        <v>32</v>
      </c>
      <c r="D8" s="56" t="s">
        <v>116</v>
      </c>
      <c r="E8" s="56" t="s">
        <v>88</v>
      </c>
      <c r="F8" s="67" t="s">
        <v>12</v>
      </c>
      <c r="G8" s="67" t="s">
        <v>117</v>
      </c>
    </row>
    <row r="9" ht="36.0" customHeight="1">
      <c r="A9" s="65">
        <v>5.0</v>
      </c>
      <c r="B9" s="65" t="s">
        <v>118</v>
      </c>
      <c r="C9" s="66" t="s">
        <v>32</v>
      </c>
      <c r="D9" s="56" t="s">
        <v>119</v>
      </c>
      <c r="E9" s="56" t="s">
        <v>88</v>
      </c>
      <c r="F9" s="67" t="s">
        <v>14</v>
      </c>
      <c r="G9" s="67" t="s">
        <v>120</v>
      </c>
    </row>
    <row r="10" ht="36.0" customHeight="1">
      <c r="A10" s="65">
        <v>6.0</v>
      </c>
      <c r="B10" s="65" t="s">
        <v>121</v>
      </c>
      <c r="C10" s="66" t="s">
        <v>32</v>
      </c>
      <c r="D10" s="56" t="s">
        <v>122</v>
      </c>
      <c r="E10" s="56" t="s">
        <v>88</v>
      </c>
      <c r="F10" s="67" t="s">
        <v>14</v>
      </c>
      <c r="G10" s="67" t="s">
        <v>123</v>
      </c>
    </row>
    <row r="11" ht="36.0" customHeight="1">
      <c r="A11" s="65">
        <v>7.0</v>
      </c>
      <c r="B11" s="65" t="s">
        <v>124</v>
      </c>
      <c r="C11" s="66" t="s">
        <v>32</v>
      </c>
      <c r="D11" s="56" t="s">
        <v>125</v>
      </c>
      <c r="E11" s="56" t="s">
        <v>88</v>
      </c>
      <c r="F11" s="67" t="s">
        <v>12</v>
      </c>
      <c r="G11" s="56"/>
    </row>
    <row r="12" ht="18.0" customHeight="1">
      <c r="A12" s="69" t="s">
        <v>126</v>
      </c>
      <c r="B12" s="19"/>
      <c r="C12" s="19"/>
      <c r="D12" s="19"/>
      <c r="E12" s="19"/>
      <c r="F12" s="19"/>
      <c r="G12" s="20"/>
    </row>
    <row r="13" ht="36.0" customHeight="1">
      <c r="A13" s="65">
        <v>8.0</v>
      </c>
      <c r="B13" s="65" t="s">
        <v>127</v>
      </c>
      <c r="C13" s="66" t="s">
        <v>32</v>
      </c>
      <c r="D13" s="56" t="s">
        <v>128</v>
      </c>
      <c r="E13" s="56" t="s">
        <v>88</v>
      </c>
      <c r="F13" s="67" t="s">
        <v>12</v>
      </c>
      <c r="G13" s="56"/>
    </row>
    <row r="14" ht="36.0" customHeight="1">
      <c r="A14" s="65">
        <v>9.0</v>
      </c>
      <c r="B14" s="65" t="s">
        <v>129</v>
      </c>
      <c r="C14" s="66" t="s">
        <v>32</v>
      </c>
      <c r="D14" s="56" t="s">
        <v>130</v>
      </c>
      <c r="E14" s="56" t="s">
        <v>88</v>
      </c>
      <c r="F14" s="67" t="s">
        <v>12</v>
      </c>
      <c r="G14" s="56"/>
    </row>
    <row r="15" ht="36.0" customHeight="1">
      <c r="A15" s="65">
        <v>10.0</v>
      </c>
      <c r="B15" s="65" t="s">
        <v>131</v>
      </c>
      <c r="C15" s="68" t="s">
        <v>33</v>
      </c>
      <c r="D15" s="56" t="s">
        <v>132</v>
      </c>
      <c r="E15" s="56" t="s">
        <v>109</v>
      </c>
      <c r="F15" s="67" t="s">
        <v>12</v>
      </c>
      <c r="G15" s="67" t="s">
        <v>133</v>
      </c>
    </row>
    <row r="16" ht="36.0" customHeight="1">
      <c r="A16" s="65">
        <v>11.0</v>
      </c>
      <c r="B16" s="65" t="s">
        <v>134</v>
      </c>
      <c r="C16" s="68" t="s">
        <v>33</v>
      </c>
      <c r="D16" s="56" t="s">
        <v>135</v>
      </c>
      <c r="E16" s="56" t="s">
        <v>88</v>
      </c>
      <c r="F16" s="67" t="s">
        <v>29</v>
      </c>
      <c r="G16" s="67" t="s">
        <v>136</v>
      </c>
    </row>
    <row r="17" ht="36.0" customHeight="1">
      <c r="A17" s="65">
        <v>12.0</v>
      </c>
      <c r="B17" s="65" t="s">
        <v>137</v>
      </c>
      <c r="C17" s="68" t="s">
        <v>33</v>
      </c>
      <c r="D17" s="56" t="s">
        <v>138</v>
      </c>
      <c r="E17" s="56" t="s">
        <v>88</v>
      </c>
      <c r="F17" s="67" t="s">
        <v>29</v>
      </c>
      <c r="G17" s="67" t="s">
        <v>139</v>
      </c>
    </row>
    <row r="18" ht="36.0" customHeight="1">
      <c r="A18" s="65">
        <v>13.0</v>
      </c>
      <c r="B18" s="65" t="s">
        <v>140</v>
      </c>
      <c r="C18" s="70" t="s">
        <v>34</v>
      </c>
      <c r="D18" s="56" t="s">
        <v>141</v>
      </c>
      <c r="E18" s="56" t="s">
        <v>142</v>
      </c>
      <c r="F18" s="67" t="s">
        <v>29</v>
      </c>
      <c r="G18" s="67" t="s">
        <v>143</v>
      </c>
    </row>
    <row r="19" ht="18.0" customHeight="1">
      <c r="A19" s="69" t="s">
        <v>144</v>
      </c>
      <c r="B19" s="19"/>
      <c r="C19" s="19"/>
      <c r="D19" s="19"/>
      <c r="E19" s="19"/>
      <c r="F19" s="19"/>
      <c r="G19" s="20"/>
    </row>
    <row r="20" ht="36.0" customHeight="1">
      <c r="A20" s="65">
        <v>14.0</v>
      </c>
      <c r="B20" s="65" t="s">
        <v>145</v>
      </c>
      <c r="C20" s="66" t="s">
        <v>32</v>
      </c>
      <c r="D20" s="56" t="s">
        <v>146</v>
      </c>
      <c r="E20" s="56" t="s">
        <v>88</v>
      </c>
      <c r="F20" s="67" t="s">
        <v>12</v>
      </c>
      <c r="G20" s="56"/>
    </row>
    <row r="21" ht="36.0" customHeight="1">
      <c r="A21" s="65">
        <v>15.0</v>
      </c>
      <c r="B21" s="65" t="s">
        <v>147</v>
      </c>
      <c r="C21" s="70" t="s">
        <v>34</v>
      </c>
      <c r="D21" s="56" t="s">
        <v>148</v>
      </c>
      <c r="E21" s="56" t="s">
        <v>109</v>
      </c>
      <c r="F21" s="67" t="s">
        <v>29</v>
      </c>
      <c r="G21" s="67" t="s">
        <v>149</v>
      </c>
    </row>
    <row r="22" ht="36.0" customHeight="1">
      <c r="A22" s="65">
        <v>16.0</v>
      </c>
      <c r="B22" s="65" t="s">
        <v>150</v>
      </c>
      <c r="C22" s="68" t="s">
        <v>33</v>
      </c>
      <c r="D22" s="56" t="s">
        <v>151</v>
      </c>
      <c r="E22" s="56" t="s">
        <v>109</v>
      </c>
      <c r="F22" s="67" t="s">
        <v>12</v>
      </c>
      <c r="G22" s="56"/>
    </row>
    <row r="23" ht="36.0" customHeight="1">
      <c r="A23" s="65">
        <v>17.0</v>
      </c>
      <c r="B23" s="65" t="s">
        <v>152</v>
      </c>
      <c r="C23" s="68" t="s">
        <v>33</v>
      </c>
      <c r="D23" s="56" t="s">
        <v>153</v>
      </c>
      <c r="E23" s="56" t="s">
        <v>154</v>
      </c>
      <c r="F23" s="67" t="s">
        <v>12</v>
      </c>
      <c r="G23" s="56"/>
    </row>
    <row r="24" ht="18.0" customHeight="1">
      <c r="A24" s="69" t="s">
        <v>155</v>
      </c>
      <c r="B24" s="19"/>
      <c r="C24" s="19"/>
      <c r="D24" s="19"/>
      <c r="E24" s="19"/>
      <c r="F24" s="19"/>
      <c r="G24" s="20"/>
    </row>
    <row r="25" ht="36.0" customHeight="1">
      <c r="A25" s="65">
        <v>18.0</v>
      </c>
      <c r="B25" s="65" t="s">
        <v>156</v>
      </c>
      <c r="C25" s="66" t="s">
        <v>32</v>
      </c>
      <c r="D25" s="56" t="s">
        <v>157</v>
      </c>
      <c r="E25" s="56" t="s">
        <v>88</v>
      </c>
      <c r="F25" s="67" t="s">
        <v>12</v>
      </c>
      <c r="G25" s="56"/>
    </row>
    <row r="26" ht="36.0" customHeight="1">
      <c r="A26" s="65">
        <v>19.0</v>
      </c>
      <c r="B26" s="65" t="s">
        <v>158</v>
      </c>
      <c r="C26" s="68" t="s">
        <v>33</v>
      </c>
      <c r="D26" s="56" t="s">
        <v>159</v>
      </c>
      <c r="E26" s="56" t="s">
        <v>160</v>
      </c>
      <c r="F26" s="67" t="s">
        <v>12</v>
      </c>
      <c r="G26" s="56"/>
    </row>
    <row r="27" ht="36.0" customHeight="1">
      <c r="A27" s="65">
        <v>20.0</v>
      </c>
      <c r="B27" s="65" t="s">
        <v>161</v>
      </c>
      <c r="C27" s="68" t="s">
        <v>33</v>
      </c>
      <c r="D27" s="56" t="s">
        <v>162</v>
      </c>
      <c r="E27" s="56" t="s">
        <v>109</v>
      </c>
      <c r="F27" s="67" t="s">
        <v>14</v>
      </c>
      <c r="G27" s="67" t="s">
        <v>163</v>
      </c>
    </row>
    <row r="28" ht="36.0" customHeight="1">
      <c r="A28" s="65">
        <v>21.0</v>
      </c>
      <c r="B28" s="65" t="s">
        <v>164</v>
      </c>
      <c r="C28" s="66" t="s">
        <v>32</v>
      </c>
      <c r="D28" s="56" t="s">
        <v>165</v>
      </c>
      <c r="E28" s="56" t="s">
        <v>154</v>
      </c>
      <c r="F28" s="67" t="s">
        <v>12</v>
      </c>
      <c r="G28" s="56"/>
    </row>
    <row r="29" ht="36.0" customHeight="1">
      <c r="A29" s="65">
        <v>22.0</v>
      </c>
      <c r="B29" s="65" t="s">
        <v>166</v>
      </c>
      <c r="C29" s="68" t="s">
        <v>33</v>
      </c>
      <c r="D29" s="56" t="s">
        <v>167</v>
      </c>
      <c r="E29" s="56" t="s">
        <v>88</v>
      </c>
      <c r="F29" s="67" t="s">
        <v>12</v>
      </c>
      <c r="G29" s="56"/>
    </row>
  </sheetData>
  <autoFilter ref="$A$2:$G$29"/>
  <mergeCells count="6">
    <mergeCell ref="A1:G1"/>
    <mergeCell ref="A3:G3"/>
    <mergeCell ref="A7:G7"/>
    <mergeCell ref="A12:G12"/>
    <mergeCell ref="A19:G19"/>
    <mergeCell ref="A24:G24"/>
  </mergeCells>
  <conditionalFormatting sqref="F3:F29">
    <cfRule type="cellIs" dxfId="6" priority="1" operator="equal">
      <formula>"Pass"</formula>
    </cfRule>
  </conditionalFormatting>
  <conditionalFormatting sqref="F3:F29">
    <cfRule type="cellIs" dxfId="10" priority="2" operator="equal">
      <formula>"Fail"</formula>
    </cfRule>
  </conditionalFormatting>
  <conditionalFormatting sqref="F3:F29">
    <cfRule type="cellIs" dxfId="8" priority="3" stopIfTrue="1" operator="equal">
      <formula>"N/A"</formula>
    </cfRule>
  </conditionalFormatting>
  <conditionalFormatting sqref="F3:F29">
    <cfRule type="cellIs" dxfId="9" priority="4" operator="equal">
      <formula>"Not Tested"</formula>
    </cfRule>
  </conditionalFormatting>
  <dataValidations>
    <dataValidation type="list" allowBlank="1" showInputMessage="1" showErrorMessage="1" prompt="Invalid status - Please choose: Pass, Fail, N/A, or Not Tested" sqref="F4:F6 F8:F11 F13:F18 F20:F23 F25:F29">
      <formula1>"Pass,Fail,N/A,Not Tested"</formula1>
    </dataValidation>
  </dataValidations>
  <printOptions/>
  <pageMargins bottom="1.0" footer="0.0" header="0.0" left="0.75" right="0.75" top="1.0"/>
  <pageSetup orientation="landscape"/>
  <drawing r:id="rId2"/>
  <legacyDrawing r:id="rId3"/>
</worksheet>
</file>

<file path=xl/worksheets/sheet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showGridLines="0" workbookViewId="0">
      <pane ySplit="2.0" topLeftCell="A3" activePane="bottomLeft" state="frozen"/>
      <selection activeCell="B4" sqref="B4" pane="bottomLeft"/>
    </sheetView>
  </sheetViews>
  <sheetFormatPr customHeight="1" defaultColWidth="14.43" defaultRowHeight="15.0"/>
  <cols>
    <col customWidth="1" min="1" max="1" width="5.0"/>
    <col customWidth="1" min="2" max="2" width="20.0"/>
    <col customWidth="1" min="3" max="3" width="14.14"/>
    <col customWidth="1" min="4" max="4" width="65.29"/>
    <col customWidth="1" min="5" max="5" width="20.0"/>
    <col customWidth="1" min="6" max="6" width="14.0"/>
    <col customWidth="1" min="7" max="7" width="79.71"/>
  </cols>
  <sheetData>
    <row r="1" ht="30.0" customHeight="1">
      <c r="A1" s="71" t="s">
        <v>18</v>
      </c>
      <c r="B1" s="19"/>
      <c r="C1" s="19"/>
      <c r="D1" s="19"/>
      <c r="E1" s="19"/>
      <c r="F1" s="19"/>
      <c r="G1" s="20"/>
    </row>
    <row r="2" ht="21.75" customHeight="1">
      <c r="A2" s="72" t="s">
        <v>55</v>
      </c>
      <c r="B2" s="72" t="s">
        <v>50</v>
      </c>
      <c r="C2" s="72" t="s">
        <v>26</v>
      </c>
      <c r="D2" s="72" t="s">
        <v>56</v>
      </c>
      <c r="E2" s="72" t="s">
        <v>52</v>
      </c>
      <c r="F2" s="72" t="s">
        <v>53</v>
      </c>
      <c r="G2" s="72" t="s">
        <v>54</v>
      </c>
    </row>
    <row r="3" ht="18.0" customHeight="1">
      <c r="A3" s="73" t="s">
        <v>168</v>
      </c>
      <c r="B3" s="19"/>
      <c r="C3" s="19"/>
      <c r="D3" s="19"/>
      <c r="E3" s="19"/>
      <c r="F3" s="19"/>
      <c r="G3" s="20"/>
    </row>
    <row r="4" ht="36.0" customHeight="1">
      <c r="A4" s="65">
        <v>1.0</v>
      </c>
      <c r="B4" s="65" t="s">
        <v>169</v>
      </c>
      <c r="C4" s="66" t="s">
        <v>32</v>
      </c>
      <c r="D4" s="56" t="s">
        <v>170</v>
      </c>
      <c r="E4" s="56" t="s">
        <v>171</v>
      </c>
      <c r="F4" s="67" t="s">
        <v>12</v>
      </c>
      <c r="G4" s="56"/>
    </row>
    <row r="5" ht="36.0" customHeight="1">
      <c r="A5" s="65">
        <v>2.0</v>
      </c>
      <c r="B5" s="65" t="s">
        <v>169</v>
      </c>
      <c r="C5" s="66" t="s">
        <v>32</v>
      </c>
      <c r="D5" s="56" t="s">
        <v>172</v>
      </c>
      <c r="E5" s="56" t="s">
        <v>171</v>
      </c>
      <c r="F5" s="67" t="s">
        <v>12</v>
      </c>
      <c r="G5" s="67" t="s">
        <v>173</v>
      </c>
    </row>
    <row r="6" ht="36.0" customHeight="1">
      <c r="A6" s="65">
        <v>3.0</v>
      </c>
      <c r="B6" s="65" t="s">
        <v>169</v>
      </c>
      <c r="C6" s="66" t="s">
        <v>32</v>
      </c>
      <c r="D6" s="56" t="s">
        <v>174</v>
      </c>
      <c r="E6" s="56" t="s">
        <v>171</v>
      </c>
      <c r="F6" s="67" t="s">
        <v>12</v>
      </c>
      <c r="G6" s="67" t="s">
        <v>175</v>
      </c>
    </row>
    <row r="7" ht="36.0" customHeight="1">
      <c r="A7" s="65">
        <v>4.0</v>
      </c>
      <c r="B7" s="65" t="s">
        <v>169</v>
      </c>
      <c r="C7" s="66" t="s">
        <v>32</v>
      </c>
      <c r="D7" s="56" t="s">
        <v>176</v>
      </c>
      <c r="E7" s="56" t="s">
        <v>171</v>
      </c>
      <c r="F7" s="67" t="s">
        <v>12</v>
      </c>
      <c r="G7" s="67" t="s">
        <v>177</v>
      </c>
    </row>
    <row r="8" ht="36.0" customHeight="1">
      <c r="A8" s="65">
        <v>5.0</v>
      </c>
      <c r="B8" s="65" t="s">
        <v>178</v>
      </c>
      <c r="C8" s="66" t="s">
        <v>32</v>
      </c>
      <c r="D8" s="56" t="s">
        <v>179</v>
      </c>
      <c r="E8" s="56" t="s">
        <v>171</v>
      </c>
      <c r="F8" s="67" t="s">
        <v>12</v>
      </c>
      <c r="G8" s="67" t="s">
        <v>180</v>
      </c>
    </row>
    <row r="9" ht="36.0" customHeight="1">
      <c r="A9" s="65">
        <v>6.0</v>
      </c>
      <c r="B9" s="65" t="s">
        <v>181</v>
      </c>
      <c r="C9" s="68" t="s">
        <v>33</v>
      </c>
      <c r="D9" s="56" t="s">
        <v>182</v>
      </c>
      <c r="E9" s="56" t="s">
        <v>171</v>
      </c>
      <c r="F9" s="67" t="s">
        <v>12</v>
      </c>
      <c r="G9" s="67" t="s">
        <v>183</v>
      </c>
    </row>
    <row r="10" ht="18.0" customHeight="1">
      <c r="A10" s="73" t="s">
        <v>184</v>
      </c>
      <c r="B10" s="19"/>
      <c r="C10" s="19"/>
      <c r="D10" s="19"/>
      <c r="E10" s="19"/>
      <c r="F10" s="19"/>
      <c r="G10" s="20"/>
    </row>
    <row r="11" ht="36.0" customHeight="1">
      <c r="A11" s="65">
        <v>7.0</v>
      </c>
      <c r="B11" s="65" t="s">
        <v>185</v>
      </c>
      <c r="C11" s="68" t="s">
        <v>33</v>
      </c>
      <c r="D11" s="56" t="s">
        <v>186</v>
      </c>
      <c r="E11" s="56" t="s">
        <v>171</v>
      </c>
      <c r="F11" s="67" t="s">
        <v>12</v>
      </c>
      <c r="G11" s="56"/>
    </row>
    <row r="12" ht="36.0" customHeight="1">
      <c r="A12" s="65">
        <v>8.0</v>
      </c>
      <c r="B12" s="65" t="s">
        <v>187</v>
      </c>
      <c r="C12" s="68" t="s">
        <v>33</v>
      </c>
      <c r="D12" s="56" t="s">
        <v>188</v>
      </c>
      <c r="E12" s="56" t="s">
        <v>171</v>
      </c>
      <c r="F12" s="67" t="s">
        <v>12</v>
      </c>
      <c r="G12" s="56"/>
    </row>
    <row r="13" ht="36.0" customHeight="1">
      <c r="A13" s="65">
        <v>9.0</v>
      </c>
      <c r="B13" s="65" t="s">
        <v>189</v>
      </c>
      <c r="C13" s="68" t="s">
        <v>33</v>
      </c>
      <c r="D13" s="56" t="s">
        <v>190</v>
      </c>
      <c r="E13" s="56" t="s">
        <v>171</v>
      </c>
      <c r="F13" s="67" t="s">
        <v>29</v>
      </c>
      <c r="G13" s="67" t="s">
        <v>191</v>
      </c>
    </row>
    <row r="14" ht="18.0" customHeight="1">
      <c r="A14" s="73" t="s">
        <v>192</v>
      </c>
      <c r="B14" s="19"/>
      <c r="C14" s="19"/>
      <c r="D14" s="19"/>
      <c r="E14" s="19"/>
      <c r="F14" s="19"/>
      <c r="G14" s="20"/>
    </row>
    <row r="15" ht="36.0" customHeight="1">
      <c r="A15" s="65">
        <v>10.0</v>
      </c>
      <c r="B15" s="65" t="s">
        <v>193</v>
      </c>
      <c r="C15" s="66" t="s">
        <v>32</v>
      </c>
      <c r="D15" s="56" t="s">
        <v>194</v>
      </c>
      <c r="E15" s="56" t="s">
        <v>171</v>
      </c>
      <c r="F15" s="67" t="s">
        <v>29</v>
      </c>
      <c r="G15" s="67" t="s">
        <v>195</v>
      </c>
    </row>
    <row r="16" ht="36.0" customHeight="1">
      <c r="A16" s="65">
        <v>11.0</v>
      </c>
      <c r="B16" s="65" t="s">
        <v>196</v>
      </c>
      <c r="C16" s="66" t="s">
        <v>32</v>
      </c>
      <c r="D16" s="56" t="s">
        <v>197</v>
      </c>
      <c r="E16" s="56" t="s">
        <v>171</v>
      </c>
      <c r="F16" s="67" t="s">
        <v>12</v>
      </c>
      <c r="G16" s="56"/>
    </row>
    <row r="17" ht="36.0" customHeight="1">
      <c r="A17" s="65">
        <v>12.0</v>
      </c>
      <c r="B17" s="65" t="s">
        <v>198</v>
      </c>
      <c r="C17" s="70" t="s">
        <v>34</v>
      </c>
      <c r="D17" s="56" t="s">
        <v>199</v>
      </c>
      <c r="E17" s="56" t="s">
        <v>171</v>
      </c>
      <c r="F17" s="67" t="s">
        <v>29</v>
      </c>
      <c r="G17" s="67" t="s">
        <v>200</v>
      </c>
    </row>
    <row r="18" ht="36.0" customHeight="1">
      <c r="A18" s="65">
        <v>13.0</v>
      </c>
      <c r="B18" s="65" t="s">
        <v>201</v>
      </c>
      <c r="C18" s="66" t="s">
        <v>32</v>
      </c>
      <c r="D18" s="56" t="s">
        <v>202</v>
      </c>
      <c r="E18" s="56" t="s">
        <v>171</v>
      </c>
      <c r="F18" s="67" t="s">
        <v>12</v>
      </c>
      <c r="G18" s="56"/>
    </row>
    <row r="19" ht="36.0" customHeight="1">
      <c r="A19" s="65">
        <v>14.0</v>
      </c>
      <c r="B19" s="65" t="s">
        <v>203</v>
      </c>
      <c r="C19" s="66" t="s">
        <v>32</v>
      </c>
      <c r="D19" s="56" t="s">
        <v>204</v>
      </c>
      <c r="E19" s="56" t="s">
        <v>171</v>
      </c>
      <c r="F19" s="67" t="s">
        <v>12</v>
      </c>
      <c r="G19" s="67"/>
    </row>
    <row r="20" ht="36.0" customHeight="1">
      <c r="A20" s="65">
        <v>15.0</v>
      </c>
      <c r="B20" s="65" t="s">
        <v>156</v>
      </c>
      <c r="C20" s="66" t="s">
        <v>32</v>
      </c>
      <c r="D20" s="56" t="s">
        <v>205</v>
      </c>
      <c r="E20" s="56" t="s">
        <v>171</v>
      </c>
      <c r="F20" s="67" t="s">
        <v>12</v>
      </c>
      <c r="G20" s="56"/>
    </row>
    <row r="21" ht="18.0" customHeight="1">
      <c r="A21" s="73" t="s">
        <v>206</v>
      </c>
      <c r="B21" s="19"/>
      <c r="C21" s="19"/>
      <c r="D21" s="19"/>
      <c r="E21" s="19"/>
      <c r="F21" s="19"/>
      <c r="G21" s="20"/>
    </row>
    <row r="22" ht="36.0" customHeight="1">
      <c r="A22" s="65">
        <v>16.0</v>
      </c>
      <c r="B22" s="65" t="s">
        <v>207</v>
      </c>
      <c r="C22" s="66" t="s">
        <v>32</v>
      </c>
      <c r="D22" s="56" t="s">
        <v>208</v>
      </c>
      <c r="E22" s="56" t="s">
        <v>171</v>
      </c>
      <c r="F22" s="67" t="s">
        <v>29</v>
      </c>
      <c r="G22" s="74" t="s">
        <v>209</v>
      </c>
    </row>
    <row r="23" ht="36.0" customHeight="1">
      <c r="A23" s="65">
        <v>17.0</v>
      </c>
      <c r="B23" s="65" t="s">
        <v>210</v>
      </c>
      <c r="C23" s="66" t="s">
        <v>32</v>
      </c>
      <c r="D23" s="56" t="s">
        <v>211</v>
      </c>
      <c r="E23" s="56" t="s">
        <v>171</v>
      </c>
      <c r="F23" s="67" t="s">
        <v>12</v>
      </c>
      <c r="G23" s="67" t="s">
        <v>212</v>
      </c>
    </row>
    <row r="24" ht="36.0" customHeight="1">
      <c r="A24" s="65">
        <v>18.0</v>
      </c>
      <c r="B24" s="65" t="s">
        <v>210</v>
      </c>
      <c r="C24" s="66" t="s">
        <v>32</v>
      </c>
      <c r="D24" s="56" t="s">
        <v>213</v>
      </c>
      <c r="E24" s="56" t="s">
        <v>171</v>
      </c>
      <c r="F24" s="67" t="s">
        <v>14</v>
      </c>
      <c r="G24" s="56"/>
    </row>
    <row r="25" ht="36.0" customHeight="1">
      <c r="A25" s="65">
        <v>19.0</v>
      </c>
      <c r="B25" s="65" t="s">
        <v>214</v>
      </c>
      <c r="C25" s="68" t="s">
        <v>33</v>
      </c>
      <c r="D25" s="56" t="s">
        <v>215</v>
      </c>
      <c r="E25" s="56" t="s">
        <v>171</v>
      </c>
      <c r="F25" s="67" t="s">
        <v>29</v>
      </c>
      <c r="G25" s="67" t="s">
        <v>216</v>
      </c>
    </row>
    <row r="26" ht="18.0" customHeight="1">
      <c r="A26" s="73" t="s">
        <v>217</v>
      </c>
      <c r="B26" s="19"/>
      <c r="C26" s="19"/>
      <c r="D26" s="19"/>
      <c r="E26" s="19"/>
      <c r="F26" s="19"/>
      <c r="G26" s="20"/>
    </row>
    <row r="27" ht="36.0" customHeight="1">
      <c r="A27" s="65">
        <v>20.0</v>
      </c>
      <c r="B27" s="65" t="s">
        <v>218</v>
      </c>
      <c r="C27" s="75" t="s">
        <v>35</v>
      </c>
      <c r="D27" s="56" t="s">
        <v>219</v>
      </c>
      <c r="E27" s="56" t="s">
        <v>171</v>
      </c>
      <c r="F27" s="67" t="s">
        <v>12</v>
      </c>
      <c r="G27" s="67" t="s">
        <v>220</v>
      </c>
    </row>
    <row r="28" ht="36.0" customHeight="1">
      <c r="A28" s="65">
        <v>21.0</v>
      </c>
      <c r="B28" s="65" t="s">
        <v>218</v>
      </c>
      <c r="C28" s="75" t="s">
        <v>35</v>
      </c>
      <c r="D28" s="56" t="s">
        <v>221</v>
      </c>
      <c r="E28" s="56" t="s">
        <v>171</v>
      </c>
      <c r="F28" s="67" t="s">
        <v>12</v>
      </c>
      <c r="G28" s="56"/>
    </row>
  </sheetData>
  <autoFilter ref="$A$2:$G$28"/>
  <mergeCells count="6">
    <mergeCell ref="A1:G1"/>
    <mergeCell ref="A3:G3"/>
    <mergeCell ref="A10:G10"/>
    <mergeCell ref="A14:G14"/>
    <mergeCell ref="A21:G21"/>
    <mergeCell ref="A26:G26"/>
  </mergeCells>
  <conditionalFormatting sqref="F3:F28">
    <cfRule type="cellIs" dxfId="6" priority="1" operator="equal">
      <formula>"Pass"</formula>
    </cfRule>
  </conditionalFormatting>
  <conditionalFormatting sqref="F3:F28">
    <cfRule type="cellIs" dxfId="10" priority="2" operator="equal">
      <formula>"Fail"</formula>
    </cfRule>
  </conditionalFormatting>
  <conditionalFormatting sqref="F3:F28">
    <cfRule type="cellIs" dxfId="8" priority="3" stopIfTrue="1" operator="equal">
      <formula>"N/A"</formula>
    </cfRule>
  </conditionalFormatting>
  <conditionalFormatting sqref="F3:F28">
    <cfRule type="cellIs" dxfId="9" priority="4" operator="equal">
      <formula>"Not Tested"</formula>
    </cfRule>
  </conditionalFormatting>
  <dataValidations>
    <dataValidation type="list" allowBlank="1" showInputMessage="1" showErrorMessage="1" prompt="Invalid status - Please choose: Pass, Fail, N/A, or Not Tested" sqref="F4:F9 F11:F13 F15:F20 F22:F25 F27:F28">
      <formula1>"Pass,Fail,N/A,Not Tested"</formula1>
    </dataValidation>
  </dataValidations>
  <hyperlinks>
    <hyperlink r:id="rId2" ref="G22"/>
  </hyperlinks>
  <printOptions/>
  <pageMargins bottom="1.0" footer="0.0" header="0.0" left="0.75" right="0.75" top="1.0"/>
  <pageSetup orientation="landscape"/>
  <drawing r:id="rId3"/>
  <legacyDrawing r:id="rId4"/>
</worksheet>
</file>

<file path=xl/worksheets/sheet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showGridLines="0" workbookViewId="0">
      <pane ySplit="2.0" topLeftCell="A3" activePane="bottomLeft" state="frozen"/>
      <selection activeCell="B4" sqref="B4" pane="bottomLeft"/>
    </sheetView>
  </sheetViews>
  <sheetFormatPr customHeight="1" defaultColWidth="14.43" defaultRowHeight="15.0"/>
  <cols>
    <col customWidth="1" min="1" max="1" width="5.0"/>
    <col customWidth="1" min="2" max="2" width="20.86"/>
    <col customWidth="1" min="3" max="3" width="12.71"/>
    <col customWidth="1" min="4" max="4" width="65.57"/>
    <col customWidth="1" min="5" max="5" width="20.0"/>
    <col customWidth="1" min="6" max="6" width="14.0"/>
    <col customWidth="1" min="7" max="7" width="83.71"/>
  </cols>
  <sheetData>
    <row r="1" ht="30.0" customHeight="1">
      <c r="A1" s="71" t="s">
        <v>222</v>
      </c>
      <c r="B1" s="19"/>
      <c r="C1" s="19"/>
      <c r="D1" s="19"/>
      <c r="E1" s="19"/>
      <c r="F1" s="19"/>
      <c r="G1" s="20"/>
    </row>
    <row r="2" ht="21.75" customHeight="1">
      <c r="A2" s="72" t="s">
        <v>55</v>
      </c>
      <c r="B2" s="72" t="s">
        <v>50</v>
      </c>
      <c r="C2" s="72" t="s">
        <v>26</v>
      </c>
      <c r="D2" s="72" t="s">
        <v>56</v>
      </c>
      <c r="E2" s="72" t="s">
        <v>52</v>
      </c>
      <c r="F2" s="72" t="s">
        <v>53</v>
      </c>
      <c r="G2" s="72" t="s">
        <v>54</v>
      </c>
    </row>
    <row r="3" ht="18.0" customHeight="1">
      <c r="A3" s="73" t="s">
        <v>223</v>
      </c>
      <c r="B3" s="19"/>
      <c r="C3" s="19"/>
      <c r="D3" s="19"/>
      <c r="E3" s="19"/>
      <c r="F3" s="19"/>
      <c r="G3" s="20"/>
    </row>
    <row r="4" ht="36.0" customHeight="1">
      <c r="A4" s="65">
        <v>1.0</v>
      </c>
      <c r="B4" s="65" t="s">
        <v>193</v>
      </c>
      <c r="C4" s="66" t="s">
        <v>32</v>
      </c>
      <c r="D4" s="56" t="s">
        <v>224</v>
      </c>
      <c r="E4" s="56" t="s">
        <v>225</v>
      </c>
      <c r="F4" s="67" t="s">
        <v>29</v>
      </c>
      <c r="G4" s="67" t="s">
        <v>226</v>
      </c>
    </row>
    <row r="5" ht="36.0" customHeight="1">
      <c r="A5" s="65">
        <v>2.0</v>
      </c>
      <c r="B5" s="65" t="s">
        <v>193</v>
      </c>
      <c r="C5" s="66" t="s">
        <v>32</v>
      </c>
      <c r="D5" s="56" t="s">
        <v>227</v>
      </c>
      <c r="E5" s="56" t="s">
        <v>225</v>
      </c>
      <c r="F5" s="67" t="s">
        <v>29</v>
      </c>
      <c r="G5" s="67" t="s">
        <v>228</v>
      </c>
    </row>
    <row r="6" ht="36.0" customHeight="1">
      <c r="A6" s="65">
        <v>3.0</v>
      </c>
      <c r="B6" s="65" t="s">
        <v>196</v>
      </c>
      <c r="C6" s="66" t="s">
        <v>32</v>
      </c>
      <c r="D6" s="56" t="s">
        <v>229</v>
      </c>
      <c r="E6" s="56" t="s">
        <v>225</v>
      </c>
      <c r="F6" s="67" t="s">
        <v>12</v>
      </c>
      <c r="G6" s="56"/>
    </row>
    <row r="7" ht="36.0" customHeight="1">
      <c r="A7" s="65">
        <v>4.0</v>
      </c>
      <c r="B7" s="65" t="s">
        <v>129</v>
      </c>
      <c r="C7" s="66" t="s">
        <v>32</v>
      </c>
      <c r="D7" s="56" t="s">
        <v>230</v>
      </c>
      <c r="E7" s="56" t="s">
        <v>225</v>
      </c>
      <c r="F7" s="67" t="s">
        <v>12</v>
      </c>
      <c r="G7" s="56"/>
    </row>
    <row r="8" ht="36.0" customHeight="1">
      <c r="A8" s="65">
        <v>5.0</v>
      </c>
      <c r="B8" s="65" t="s">
        <v>134</v>
      </c>
      <c r="C8" s="68" t="s">
        <v>33</v>
      </c>
      <c r="D8" s="56" t="s">
        <v>231</v>
      </c>
      <c r="E8" s="56" t="s">
        <v>232</v>
      </c>
      <c r="F8" s="67" t="s">
        <v>29</v>
      </c>
      <c r="G8" s="67" t="s">
        <v>136</v>
      </c>
    </row>
    <row r="9" ht="36.0" customHeight="1">
      <c r="A9" s="65">
        <v>6.0</v>
      </c>
      <c r="B9" s="65" t="s">
        <v>137</v>
      </c>
      <c r="C9" s="68" t="s">
        <v>33</v>
      </c>
      <c r="D9" s="56" t="s">
        <v>233</v>
      </c>
      <c r="E9" s="56" t="s">
        <v>225</v>
      </c>
      <c r="F9" s="67" t="s">
        <v>12</v>
      </c>
      <c r="G9" s="67"/>
    </row>
    <row r="10" ht="36.0" customHeight="1">
      <c r="A10" s="65">
        <v>7.0</v>
      </c>
      <c r="B10" s="65" t="s">
        <v>189</v>
      </c>
      <c r="C10" s="68" t="s">
        <v>33</v>
      </c>
      <c r="D10" s="56" t="s">
        <v>234</v>
      </c>
      <c r="E10" s="56" t="s">
        <v>225</v>
      </c>
      <c r="F10" s="67" t="s">
        <v>29</v>
      </c>
      <c r="G10" s="67" t="s">
        <v>191</v>
      </c>
    </row>
    <row r="11" ht="18.0" customHeight="1">
      <c r="A11" s="73" t="s">
        <v>217</v>
      </c>
      <c r="B11" s="19"/>
      <c r="C11" s="19"/>
      <c r="D11" s="19"/>
      <c r="E11" s="19"/>
      <c r="F11" s="19"/>
      <c r="G11" s="20"/>
    </row>
    <row r="12" ht="36.0" customHeight="1">
      <c r="A12" s="65">
        <v>8.0</v>
      </c>
      <c r="B12" s="65" t="s">
        <v>218</v>
      </c>
      <c r="C12" s="75" t="s">
        <v>35</v>
      </c>
      <c r="D12" s="56" t="s">
        <v>235</v>
      </c>
      <c r="E12" s="56" t="s">
        <v>225</v>
      </c>
      <c r="F12" s="67" t="s">
        <v>12</v>
      </c>
      <c r="G12" s="56"/>
    </row>
    <row r="13" ht="36.0" customHeight="1">
      <c r="A13" s="65">
        <v>9.0</v>
      </c>
      <c r="B13" s="65" t="s">
        <v>218</v>
      </c>
      <c r="C13" s="75" t="s">
        <v>35</v>
      </c>
      <c r="D13" s="56" t="s">
        <v>236</v>
      </c>
      <c r="E13" s="56" t="s">
        <v>225</v>
      </c>
      <c r="F13" s="67" t="s">
        <v>29</v>
      </c>
      <c r="G13" s="67" t="s">
        <v>237</v>
      </c>
    </row>
    <row r="14" ht="36.0" customHeight="1">
      <c r="A14" s="65">
        <v>10.0</v>
      </c>
      <c r="B14" s="65" t="s">
        <v>218</v>
      </c>
      <c r="C14" s="75" t="s">
        <v>35</v>
      </c>
      <c r="D14" s="56" t="s">
        <v>238</v>
      </c>
      <c r="E14" s="56" t="s">
        <v>225</v>
      </c>
      <c r="F14" s="67" t="s">
        <v>12</v>
      </c>
      <c r="G14" s="67" t="s">
        <v>239</v>
      </c>
    </row>
  </sheetData>
  <autoFilter ref="$A$2:$G$14"/>
  <mergeCells count="3">
    <mergeCell ref="A1:G1"/>
    <mergeCell ref="A3:G3"/>
    <mergeCell ref="A11:G11"/>
  </mergeCells>
  <conditionalFormatting sqref="F3:F14">
    <cfRule type="cellIs" dxfId="6" priority="1" operator="equal">
      <formula>"Pass"</formula>
    </cfRule>
  </conditionalFormatting>
  <conditionalFormatting sqref="F3:F14">
    <cfRule type="cellIs" dxfId="10" priority="2" operator="equal">
      <formula>"Fail"</formula>
    </cfRule>
  </conditionalFormatting>
  <conditionalFormatting sqref="F3:F14">
    <cfRule type="cellIs" dxfId="8" priority="3" stopIfTrue="1" operator="equal">
      <formula>"N/A"</formula>
    </cfRule>
  </conditionalFormatting>
  <conditionalFormatting sqref="F3:F14">
    <cfRule type="cellIs" dxfId="9" priority="4" operator="equal">
      <formula>"Not Tested"</formula>
    </cfRule>
  </conditionalFormatting>
  <dataValidations>
    <dataValidation type="list" allowBlank="1" showInputMessage="1" showErrorMessage="1" prompt="Invalid status - Please choose: Pass, Fail, N/A, or Not Tested" sqref="F4:F10 F12:F14">
      <formula1>"Pass,Fail,N/A,Not Tested"</formula1>
    </dataValidation>
  </dataValidations>
  <printOptions/>
  <pageMargins bottom="1.0" footer="0.0" header="0.0" left="0.75" right="0.75" top="1.0"/>
  <pageSetup orientation="landscape"/>
  <drawing r:id="rId1"/>
</worksheet>
</file>

<file path=xl/worksheets/sheet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showGridLines="0" workbookViewId="0">
      <pane ySplit="2.0" topLeftCell="A3" activePane="bottomLeft" state="frozen"/>
      <selection activeCell="B4" sqref="B4" pane="bottomLeft"/>
    </sheetView>
  </sheetViews>
  <sheetFormatPr customHeight="1" defaultColWidth="14.43" defaultRowHeight="15.0"/>
  <cols>
    <col customWidth="1" min="1" max="1" width="5.0"/>
    <col customWidth="1" min="2" max="2" width="20.29"/>
    <col customWidth="1" min="3" max="3" width="13.86"/>
    <col customWidth="1" min="4" max="4" width="64.29"/>
    <col customWidth="1" min="5" max="5" width="20.0"/>
    <col customWidth="1" min="6" max="6" width="14.0"/>
    <col customWidth="1" min="7" max="7" width="83.0"/>
  </cols>
  <sheetData>
    <row r="1" ht="30.0" customHeight="1">
      <c r="A1" s="71" t="s">
        <v>240</v>
      </c>
      <c r="B1" s="19"/>
      <c r="C1" s="19"/>
      <c r="D1" s="19"/>
      <c r="E1" s="19"/>
      <c r="F1" s="19"/>
      <c r="G1" s="20"/>
    </row>
    <row r="2" ht="21.75" customHeight="1">
      <c r="A2" s="72" t="s">
        <v>55</v>
      </c>
      <c r="B2" s="72" t="s">
        <v>50</v>
      </c>
      <c r="C2" s="72" t="s">
        <v>26</v>
      </c>
      <c r="D2" s="72" t="s">
        <v>56</v>
      </c>
      <c r="E2" s="72" t="s">
        <v>52</v>
      </c>
      <c r="F2" s="72" t="s">
        <v>53</v>
      </c>
      <c r="G2" s="72" t="s">
        <v>54</v>
      </c>
    </row>
    <row r="3" ht="18.0" customHeight="1">
      <c r="A3" s="73" t="s">
        <v>241</v>
      </c>
      <c r="B3" s="19"/>
      <c r="C3" s="19"/>
      <c r="D3" s="19"/>
      <c r="E3" s="19"/>
      <c r="F3" s="19"/>
      <c r="G3" s="20"/>
    </row>
    <row r="4" ht="36.0" customHeight="1">
      <c r="A4" s="65">
        <v>1.0</v>
      </c>
      <c r="B4" s="65" t="s">
        <v>99</v>
      </c>
      <c r="C4" s="66" t="s">
        <v>32</v>
      </c>
      <c r="D4" s="56" t="s">
        <v>242</v>
      </c>
      <c r="E4" s="56" t="s">
        <v>243</v>
      </c>
      <c r="F4" s="67" t="s">
        <v>12</v>
      </c>
      <c r="G4" s="56"/>
    </row>
    <row r="5" ht="36.0" customHeight="1">
      <c r="A5" s="65">
        <v>2.0</v>
      </c>
      <c r="B5" s="65" t="s">
        <v>97</v>
      </c>
      <c r="C5" s="66" t="s">
        <v>32</v>
      </c>
      <c r="D5" s="56" t="s">
        <v>244</v>
      </c>
      <c r="E5" s="56" t="s">
        <v>243</v>
      </c>
      <c r="F5" s="67" t="s">
        <v>12</v>
      </c>
      <c r="G5" s="56"/>
    </row>
    <row r="6" ht="36.0" customHeight="1">
      <c r="A6" s="65">
        <v>3.0</v>
      </c>
      <c r="B6" s="65" t="s">
        <v>101</v>
      </c>
      <c r="C6" s="68" t="s">
        <v>33</v>
      </c>
      <c r="D6" s="56" t="s">
        <v>245</v>
      </c>
      <c r="E6" s="56" t="s">
        <v>243</v>
      </c>
      <c r="F6" s="67" t="s">
        <v>12</v>
      </c>
      <c r="G6" s="56"/>
    </row>
    <row r="7" ht="36.0" customHeight="1">
      <c r="A7" s="65">
        <v>4.0</v>
      </c>
      <c r="B7" s="65" t="s">
        <v>161</v>
      </c>
      <c r="C7" s="68" t="s">
        <v>33</v>
      </c>
      <c r="D7" s="56" t="s">
        <v>246</v>
      </c>
      <c r="E7" s="56" t="s">
        <v>232</v>
      </c>
      <c r="F7" s="67" t="s">
        <v>14</v>
      </c>
      <c r="G7" s="67" t="s">
        <v>247</v>
      </c>
    </row>
    <row r="8" ht="36.0" customHeight="1">
      <c r="A8" s="65">
        <v>5.0</v>
      </c>
      <c r="B8" s="65" t="s">
        <v>164</v>
      </c>
      <c r="C8" s="66" t="s">
        <v>32</v>
      </c>
      <c r="D8" s="56" t="s">
        <v>248</v>
      </c>
      <c r="E8" s="56" t="s">
        <v>232</v>
      </c>
      <c r="F8" s="67" t="s">
        <v>12</v>
      </c>
      <c r="G8" s="56"/>
    </row>
    <row r="9" ht="36.0" customHeight="1">
      <c r="A9" s="65">
        <v>6.0</v>
      </c>
      <c r="B9" s="65" t="s">
        <v>166</v>
      </c>
      <c r="C9" s="68" t="s">
        <v>33</v>
      </c>
      <c r="D9" s="56" t="s">
        <v>249</v>
      </c>
      <c r="E9" s="56" t="s">
        <v>232</v>
      </c>
      <c r="F9" s="67" t="s">
        <v>12</v>
      </c>
      <c r="G9" s="56"/>
    </row>
    <row r="10" ht="36.0" customHeight="1">
      <c r="A10" s="65">
        <v>7.0</v>
      </c>
      <c r="B10" s="65" t="s">
        <v>181</v>
      </c>
      <c r="C10" s="68" t="s">
        <v>33</v>
      </c>
      <c r="D10" s="56" t="s">
        <v>250</v>
      </c>
      <c r="E10" s="56" t="s">
        <v>225</v>
      </c>
      <c r="F10" s="67" t="s">
        <v>12</v>
      </c>
      <c r="G10" s="67" t="s">
        <v>183</v>
      </c>
    </row>
    <row r="11" ht="36.0" customHeight="1">
      <c r="A11" s="65">
        <v>8.0</v>
      </c>
      <c r="B11" s="65" t="s">
        <v>210</v>
      </c>
      <c r="C11" s="66" t="s">
        <v>32</v>
      </c>
      <c r="D11" s="56" t="s">
        <v>251</v>
      </c>
      <c r="E11" s="56" t="s">
        <v>225</v>
      </c>
      <c r="F11" s="67" t="s">
        <v>12</v>
      </c>
      <c r="G11" s="56"/>
    </row>
    <row r="12" ht="36.0" customHeight="1">
      <c r="A12" s="65">
        <v>9.0</v>
      </c>
      <c r="B12" s="65" t="s">
        <v>169</v>
      </c>
      <c r="C12" s="66" t="s">
        <v>32</v>
      </c>
      <c r="D12" s="56" t="s">
        <v>252</v>
      </c>
      <c r="E12" s="56" t="s">
        <v>225</v>
      </c>
      <c r="F12" s="67" t="s">
        <v>12</v>
      </c>
      <c r="G12" s="67"/>
    </row>
    <row r="13" ht="18.0" customHeight="1">
      <c r="A13" s="73" t="s">
        <v>217</v>
      </c>
      <c r="B13" s="19"/>
      <c r="C13" s="19"/>
      <c r="D13" s="19"/>
      <c r="E13" s="19"/>
      <c r="F13" s="19"/>
      <c r="G13" s="20"/>
    </row>
    <row r="14" ht="36.0" customHeight="1">
      <c r="A14" s="65">
        <v>10.0</v>
      </c>
      <c r="B14" s="65" t="s">
        <v>218</v>
      </c>
      <c r="C14" s="75" t="s">
        <v>35</v>
      </c>
      <c r="D14" s="56" t="s">
        <v>253</v>
      </c>
      <c r="E14" s="56" t="s">
        <v>243</v>
      </c>
      <c r="F14" s="67" t="s">
        <v>12</v>
      </c>
      <c r="G14" s="67" t="s">
        <v>254</v>
      </c>
    </row>
    <row r="15" ht="36.0" customHeight="1">
      <c r="A15" s="65">
        <v>11.0</v>
      </c>
      <c r="B15" s="65" t="s">
        <v>218</v>
      </c>
      <c r="C15" s="75" t="s">
        <v>35</v>
      </c>
      <c r="D15" s="56" t="s">
        <v>255</v>
      </c>
      <c r="E15" s="56" t="s">
        <v>225</v>
      </c>
      <c r="F15" s="67" t="s">
        <v>29</v>
      </c>
      <c r="G15" s="67" t="s">
        <v>256</v>
      </c>
    </row>
  </sheetData>
  <autoFilter ref="$A$2:$G$15"/>
  <mergeCells count="3">
    <mergeCell ref="A1:G1"/>
    <mergeCell ref="A3:G3"/>
    <mergeCell ref="A13:G13"/>
  </mergeCells>
  <conditionalFormatting sqref="F3:F15">
    <cfRule type="cellIs" dxfId="6" priority="1" operator="equal">
      <formula>"Pass"</formula>
    </cfRule>
  </conditionalFormatting>
  <conditionalFormatting sqref="F3:F15">
    <cfRule type="cellIs" dxfId="11" priority="2" operator="equal">
      <formula>"Fail"</formula>
    </cfRule>
  </conditionalFormatting>
  <conditionalFormatting sqref="F3:F15">
    <cfRule type="cellIs" dxfId="8" priority="3" stopIfTrue="1" operator="equal">
      <formula>"N/A"</formula>
    </cfRule>
  </conditionalFormatting>
  <conditionalFormatting sqref="F3:F15">
    <cfRule type="cellIs" dxfId="9" priority="4" operator="equal">
      <formula>"Not Tested"</formula>
    </cfRule>
  </conditionalFormatting>
  <dataValidations>
    <dataValidation type="list" allowBlank="1" showInputMessage="1" showErrorMessage="1" prompt="Invalid status - Please choose: Pass, Fail, N/A, or Not Tested" sqref="F4:F12 F14:F15">
      <formula1>"Pass,Fail,N/A,Not Tested"</formula1>
    </dataValidation>
  </dataValidations>
  <printOptions/>
  <pageMargins bottom="1.0" footer="0.0" header="0.0" left="0.75" right="0.75" top="1.0"/>
  <pageSetup orientation="landscape"/>
  <drawing r:id="rId1"/>
</worksheet>
</file>

<file path=xl/worksheets/sheet8.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showGridLines="0" workbookViewId="0">
      <pane ySplit="2.0" topLeftCell="A3" activePane="bottomLeft" state="frozen"/>
      <selection activeCell="B4" sqref="B4" pane="bottomLeft"/>
    </sheetView>
  </sheetViews>
  <sheetFormatPr customHeight="1" defaultColWidth="14.43" defaultRowHeight="15.0"/>
  <cols>
    <col customWidth="1" min="1" max="1" width="5.0"/>
    <col customWidth="1" min="2" max="2" width="20.29"/>
    <col customWidth="1" min="3" max="3" width="13.71"/>
    <col customWidth="1" min="4" max="4" width="64.14"/>
    <col customWidth="1" min="5" max="5" width="20.0"/>
    <col customWidth="1" min="6" max="6" width="14.0"/>
    <col customWidth="1" min="7" max="7" width="85.71"/>
  </cols>
  <sheetData>
    <row r="1" ht="30.0" customHeight="1">
      <c r="A1" s="71" t="s">
        <v>257</v>
      </c>
      <c r="B1" s="19"/>
      <c r="C1" s="19"/>
      <c r="D1" s="19"/>
      <c r="E1" s="19"/>
      <c r="F1" s="19"/>
      <c r="G1" s="20"/>
    </row>
    <row r="2" ht="21.75" customHeight="1">
      <c r="A2" s="72" t="s">
        <v>55</v>
      </c>
      <c r="B2" s="72" t="s">
        <v>50</v>
      </c>
      <c r="C2" s="72" t="s">
        <v>26</v>
      </c>
      <c r="D2" s="72" t="s">
        <v>56</v>
      </c>
      <c r="E2" s="72" t="s">
        <v>52</v>
      </c>
      <c r="F2" s="72" t="s">
        <v>53</v>
      </c>
      <c r="G2" s="72" t="s">
        <v>54</v>
      </c>
    </row>
    <row r="3" ht="18.0" customHeight="1">
      <c r="A3" s="73" t="s">
        <v>258</v>
      </c>
      <c r="B3" s="19"/>
      <c r="C3" s="19"/>
      <c r="D3" s="19"/>
      <c r="E3" s="19"/>
      <c r="F3" s="19"/>
      <c r="G3" s="20"/>
    </row>
    <row r="4" ht="36.0" customHeight="1">
      <c r="A4" s="65">
        <v>1.0</v>
      </c>
      <c r="B4" s="65" t="s">
        <v>110</v>
      </c>
      <c r="C4" s="68" t="s">
        <v>33</v>
      </c>
      <c r="D4" s="56" t="s">
        <v>259</v>
      </c>
      <c r="E4" s="56" t="s">
        <v>260</v>
      </c>
      <c r="F4" s="67" t="s">
        <v>12</v>
      </c>
      <c r="G4" s="56"/>
    </row>
    <row r="5" ht="36.0" customHeight="1">
      <c r="A5" s="65">
        <v>2.0</v>
      </c>
      <c r="B5" s="65" t="s">
        <v>110</v>
      </c>
      <c r="C5" s="68" t="s">
        <v>33</v>
      </c>
      <c r="D5" s="56" t="s">
        <v>261</v>
      </c>
      <c r="E5" s="56" t="s">
        <v>260</v>
      </c>
      <c r="F5" s="67" t="s">
        <v>12</v>
      </c>
      <c r="G5" s="56"/>
    </row>
    <row r="6" ht="36.0" customHeight="1">
      <c r="A6" s="65">
        <v>3.0</v>
      </c>
      <c r="B6" s="65" t="s">
        <v>112</v>
      </c>
      <c r="C6" s="68" t="s">
        <v>33</v>
      </c>
      <c r="D6" s="56" t="s">
        <v>262</v>
      </c>
      <c r="E6" s="56" t="s">
        <v>260</v>
      </c>
      <c r="F6" s="67" t="s">
        <v>12</v>
      </c>
      <c r="G6" s="56"/>
    </row>
    <row r="7" ht="36.0" customHeight="1">
      <c r="A7" s="65">
        <v>4.0</v>
      </c>
      <c r="B7" s="65" t="s">
        <v>112</v>
      </c>
      <c r="C7" s="68" t="s">
        <v>33</v>
      </c>
      <c r="D7" s="56" t="s">
        <v>263</v>
      </c>
      <c r="E7" s="56" t="s">
        <v>260</v>
      </c>
      <c r="F7" s="67" t="s">
        <v>12</v>
      </c>
      <c r="G7" s="67" t="s">
        <v>264</v>
      </c>
    </row>
    <row r="8" ht="36.0" customHeight="1">
      <c r="A8" s="65">
        <v>5.0</v>
      </c>
      <c r="B8" s="65" t="s">
        <v>107</v>
      </c>
      <c r="C8" s="66" t="s">
        <v>32</v>
      </c>
      <c r="D8" s="56" t="s">
        <v>265</v>
      </c>
      <c r="E8" s="56" t="s">
        <v>260</v>
      </c>
      <c r="F8" s="67" t="s">
        <v>12</v>
      </c>
      <c r="G8" s="56"/>
    </row>
  </sheetData>
  <autoFilter ref="$A$2:$G$8"/>
  <mergeCells count="2">
    <mergeCell ref="A1:G1"/>
    <mergeCell ref="A3:G3"/>
  </mergeCells>
  <conditionalFormatting sqref="F3:F8">
    <cfRule type="cellIs" dxfId="6" priority="1" operator="equal">
      <formula>"Pass"</formula>
    </cfRule>
  </conditionalFormatting>
  <conditionalFormatting sqref="F3:F8">
    <cfRule type="cellIs" dxfId="10" priority="2" operator="equal">
      <formula>"Fail"</formula>
    </cfRule>
  </conditionalFormatting>
  <conditionalFormatting sqref="F3:F8">
    <cfRule type="cellIs" dxfId="8" priority="3" stopIfTrue="1" operator="equal">
      <formula>"N/A"</formula>
    </cfRule>
  </conditionalFormatting>
  <conditionalFormatting sqref="F3:F8">
    <cfRule type="cellIs" dxfId="9" priority="4" operator="equal">
      <formula>"Not Tested"</formula>
    </cfRule>
  </conditionalFormatting>
  <dataValidations>
    <dataValidation type="list" allowBlank="1" showInputMessage="1" showErrorMessage="1" prompt="Invalid status - Please choose: Pass, Fail, N/A, or Not Tested" sqref="F4:F8">
      <formula1>"Pass,Fail,N/A,Not Tested"</formula1>
    </dataValidation>
  </dataValidations>
  <printOptions/>
  <pageMargins bottom="1.0" footer="0.0" header="0.0" left="0.75" right="0.75" top="1.0"/>
  <pageSetup orientation="landscape"/>
  <drawing r:id="rId1"/>
</worksheet>
</file>

<file path=xl/worksheets/sheet9.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showGridLines="0" workbookViewId="0">
      <pane ySplit="2.0" topLeftCell="A3" activePane="bottomLeft" state="frozen"/>
      <selection activeCell="B4" sqref="B4" pane="bottomLeft"/>
    </sheetView>
  </sheetViews>
  <sheetFormatPr customHeight="1" defaultColWidth="14.43" defaultRowHeight="15.0"/>
  <cols>
    <col customWidth="1" min="1" max="1" width="5.0"/>
    <col customWidth="1" min="2" max="2" width="20.71"/>
    <col customWidth="1" min="3" max="3" width="14.43"/>
    <col customWidth="1" min="4" max="4" width="63.86"/>
    <col customWidth="1" min="5" max="5" width="20.0"/>
    <col customWidth="1" min="6" max="6" width="14.0"/>
    <col customWidth="1" min="7" max="7" width="97.71"/>
  </cols>
  <sheetData>
    <row r="1" ht="30.0" customHeight="1">
      <c r="A1" s="76" t="s">
        <v>266</v>
      </c>
      <c r="B1" s="61"/>
      <c r="C1" s="61"/>
      <c r="D1" s="61"/>
      <c r="E1" s="61"/>
      <c r="F1" s="61"/>
      <c r="G1" s="62"/>
    </row>
    <row r="2" ht="21.75" customHeight="1">
      <c r="A2" s="77" t="s">
        <v>55</v>
      </c>
      <c r="B2" s="77" t="s">
        <v>50</v>
      </c>
      <c r="C2" s="77" t="s">
        <v>26</v>
      </c>
      <c r="D2" s="77" t="s">
        <v>56</v>
      </c>
      <c r="E2" s="77" t="s">
        <v>52</v>
      </c>
      <c r="F2" s="77" t="s">
        <v>53</v>
      </c>
      <c r="G2" s="77" t="s">
        <v>54</v>
      </c>
    </row>
    <row r="3" ht="18.0" customHeight="1">
      <c r="A3" s="78" t="s">
        <v>267</v>
      </c>
      <c r="B3" s="2"/>
      <c r="C3" s="2"/>
      <c r="D3" s="2"/>
      <c r="E3" s="2"/>
      <c r="F3" s="2"/>
      <c r="G3" s="3"/>
    </row>
    <row r="4" ht="36.0" customHeight="1">
      <c r="A4" s="65">
        <v>1.0</v>
      </c>
      <c r="B4" s="65" t="s">
        <v>58</v>
      </c>
      <c r="C4" s="66" t="s">
        <v>32</v>
      </c>
      <c r="D4" s="56" t="s">
        <v>268</v>
      </c>
      <c r="E4" s="56" t="s">
        <v>243</v>
      </c>
      <c r="F4" s="67" t="s">
        <v>29</v>
      </c>
      <c r="G4" s="56"/>
    </row>
    <row r="5" ht="36.0" customHeight="1">
      <c r="A5" s="65">
        <v>2.0</v>
      </c>
      <c r="B5" s="65" t="s">
        <v>169</v>
      </c>
      <c r="C5" s="66" t="s">
        <v>32</v>
      </c>
      <c r="D5" s="56" t="s">
        <v>269</v>
      </c>
      <c r="E5" s="56" t="s">
        <v>225</v>
      </c>
      <c r="F5" s="67" t="s">
        <v>12</v>
      </c>
      <c r="G5" s="56"/>
    </row>
    <row r="6" ht="36.0" customHeight="1">
      <c r="A6" s="65">
        <v>3.0</v>
      </c>
      <c r="B6" s="65" t="s">
        <v>270</v>
      </c>
      <c r="C6" s="66" t="s">
        <v>32</v>
      </c>
      <c r="D6" s="56" t="s">
        <v>271</v>
      </c>
      <c r="E6" s="56" t="s">
        <v>243</v>
      </c>
      <c r="F6" s="67" t="s">
        <v>12</v>
      </c>
      <c r="G6" s="56"/>
    </row>
    <row r="7" ht="36.0" customHeight="1">
      <c r="A7" s="65">
        <v>4.0</v>
      </c>
      <c r="B7" s="65" t="s">
        <v>80</v>
      </c>
      <c r="C7" s="66" t="s">
        <v>32</v>
      </c>
      <c r="D7" s="56" t="s">
        <v>272</v>
      </c>
      <c r="E7" s="56" t="s">
        <v>243</v>
      </c>
      <c r="F7" s="67" t="s">
        <v>29</v>
      </c>
      <c r="G7" s="56"/>
    </row>
    <row r="8" ht="36.0" customHeight="1">
      <c r="A8" s="65">
        <v>5.0</v>
      </c>
      <c r="B8" s="65" t="s">
        <v>86</v>
      </c>
      <c r="C8" s="66" t="s">
        <v>32</v>
      </c>
      <c r="D8" s="56" t="s">
        <v>273</v>
      </c>
      <c r="E8" s="56" t="s">
        <v>225</v>
      </c>
      <c r="F8" s="67" t="s">
        <v>12</v>
      </c>
      <c r="G8" s="56"/>
    </row>
    <row r="9" ht="36.0" customHeight="1">
      <c r="A9" s="65">
        <v>6.0</v>
      </c>
      <c r="B9" s="65" t="s">
        <v>89</v>
      </c>
      <c r="C9" s="68" t="s">
        <v>33</v>
      </c>
      <c r="D9" s="56" t="s">
        <v>274</v>
      </c>
      <c r="E9" s="56" t="s">
        <v>225</v>
      </c>
      <c r="F9" s="67" t="s">
        <v>14</v>
      </c>
      <c r="G9" s="56"/>
    </row>
    <row r="10" ht="36.0" customHeight="1">
      <c r="A10" s="65">
        <v>7.0</v>
      </c>
      <c r="B10" s="65" t="s">
        <v>210</v>
      </c>
      <c r="C10" s="66" t="s">
        <v>32</v>
      </c>
      <c r="D10" s="56" t="s">
        <v>275</v>
      </c>
      <c r="E10" s="56" t="s">
        <v>225</v>
      </c>
      <c r="F10" s="67" t="s">
        <v>12</v>
      </c>
      <c r="G10" s="56"/>
    </row>
    <row r="11" ht="36.0" customHeight="1">
      <c r="A11" s="65">
        <v>8.0</v>
      </c>
      <c r="B11" s="65" t="s">
        <v>214</v>
      </c>
      <c r="C11" s="68" t="s">
        <v>33</v>
      </c>
      <c r="D11" s="56" t="s">
        <v>276</v>
      </c>
      <c r="E11" s="56" t="s">
        <v>225</v>
      </c>
      <c r="F11" s="67" t="s">
        <v>29</v>
      </c>
      <c r="G11" s="67" t="s">
        <v>216</v>
      </c>
    </row>
    <row r="12" ht="36.0" customHeight="1">
      <c r="A12" s="65">
        <v>9.0</v>
      </c>
      <c r="B12" s="65" t="s">
        <v>203</v>
      </c>
      <c r="C12" s="66" t="s">
        <v>32</v>
      </c>
      <c r="D12" s="56" t="s">
        <v>277</v>
      </c>
      <c r="E12" s="56" t="s">
        <v>225</v>
      </c>
      <c r="F12" s="67" t="s">
        <v>12</v>
      </c>
      <c r="G12" s="67"/>
    </row>
    <row r="13" ht="18.0" customHeight="1">
      <c r="A13" s="79" t="s">
        <v>217</v>
      </c>
      <c r="G13" s="5"/>
    </row>
    <row r="14" ht="36.0" customHeight="1">
      <c r="A14" s="65">
        <v>10.0</v>
      </c>
      <c r="B14" s="65" t="s">
        <v>218</v>
      </c>
      <c r="C14" s="75" t="s">
        <v>35</v>
      </c>
      <c r="D14" s="56" t="s">
        <v>278</v>
      </c>
      <c r="E14" s="56" t="s">
        <v>279</v>
      </c>
      <c r="F14" s="67" t="s">
        <v>12</v>
      </c>
      <c r="G14" s="67" t="s">
        <v>280</v>
      </c>
    </row>
    <row r="15" ht="36.0" customHeight="1">
      <c r="A15" s="65">
        <v>11.0</v>
      </c>
      <c r="B15" s="65" t="s">
        <v>218</v>
      </c>
      <c r="C15" s="75" t="s">
        <v>35</v>
      </c>
      <c r="D15" s="56" t="s">
        <v>281</v>
      </c>
      <c r="E15" s="56" t="s">
        <v>225</v>
      </c>
      <c r="F15" s="67" t="s">
        <v>12</v>
      </c>
      <c r="G15" s="67" t="s">
        <v>282</v>
      </c>
    </row>
  </sheetData>
  <autoFilter ref="$A$2:$G$15"/>
  <mergeCells count="3">
    <mergeCell ref="A1:G1"/>
    <mergeCell ref="A3:G3"/>
    <mergeCell ref="A13:G13"/>
  </mergeCells>
  <conditionalFormatting sqref="F3:F15">
    <cfRule type="cellIs" dxfId="6" priority="1" operator="equal">
      <formula>"Pass"</formula>
    </cfRule>
  </conditionalFormatting>
  <conditionalFormatting sqref="F3:F15">
    <cfRule type="cellIs" dxfId="10" priority="2" operator="equal">
      <formula>"Fail"</formula>
    </cfRule>
  </conditionalFormatting>
  <conditionalFormatting sqref="F3:F15">
    <cfRule type="cellIs" dxfId="8" priority="3" stopIfTrue="1" operator="equal">
      <formula>"N/A"</formula>
    </cfRule>
  </conditionalFormatting>
  <conditionalFormatting sqref="F3:F15">
    <cfRule type="cellIs" dxfId="9" priority="4" operator="equal">
      <formula>"Not Tested"</formula>
    </cfRule>
  </conditionalFormatting>
  <dataValidations>
    <dataValidation type="list" allowBlank="1" showInputMessage="1" showErrorMessage="1" prompt="Invalid status - Please choose: Pass, Fail, N/A, or Not Tested" sqref="F4:F12 F14:F15">
      <formula1>"Pass,Fail,N/A,Not Tested"</formula1>
    </dataValidation>
  </dataValidations>
  <printOptions/>
  <pageMargins bottom="1.0" footer="0.0" header="0.0" left="0.75" right="0.75" top="1.0"/>
  <pageSetup orientation="landscape"/>
  <drawing r:id="rId2"/>
  <legacyDrawing r:id="rId3"/>
</worksheet>
</file>

<file path=xl/worksheets/sheet10.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showGridLines="0" workbookViewId="0">
      <pane ySplit="2.0" topLeftCell="A3" activePane="bottomLeft" state="frozen"/>
      <selection activeCell="B4" sqref="B4" pane="bottomLeft"/>
    </sheetView>
  </sheetViews>
  <sheetFormatPr customHeight="1" defaultColWidth="14.43" defaultRowHeight="15.0"/>
  <cols>
    <col customWidth="1" min="1" max="1" width="5.0"/>
    <col customWidth="1" min="2" max="2" width="20.14"/>
    <col customWidth="1" min="3" max="3" width="15.43"/>
    <col customWidth="1" min="4" max="4" width="63.57"/>
    <col customWidth="1" min="5" max="5" width="20.0"/>
    <col customWidth="1" min="6" max="6" width="14.0"/>
    <col customWidth="1" min="7" max="7" width="78.43"/>
  </cols>
  <sheetData>
    <row r="1" ht="30.0" customHeight="1">
      <c r="A1" s="80" t="s">
        <v>283</v>
      </c>
      <c r="B1" s="19"/>
      <c r="C1" s="19"/>
      <c r="D1" s="19"/>
      <c r="E1" s="19"/>
      <c r="F1" s="19"/>
      <c r="G1" s="20"/>
    </row>
    <row r="2" ht="21.75" customHeight="1">
      <c r="A2" s="81" t="s">
        <v>55</v>
      </c>
      <c r="B2" s="81" t="s">
        <v>50</v>
      </c>
      <c r="C2" s="81" t="s">
        <v>26</v>
      </c>
      <c r="D2" s="81" t="s">
        <v>56</v>
      </c>
      <c r="E2" s="81" t="s">
        <v>52</v>
      </c>
      <c r="F2" s="81" t="s">
        <v>53</v>
      </c>
      <c r="G2" s="81" t="s">
        <v>54</v>
      </c>
    </row>
    <row r="3" ht="18.0" customHeight="1">
      <c r="A3" s="73" t="s">
        <v>284</v>
      </c>
      <c r="B3" s="19"/>
      <c r="C3" s="19"/>
      <c r="D3" s="19"/>
      <c r="E3" s="19"/>
      <c r="F3" s="19"/>
      <c r="G3" s="20"/>
    </row>
    <row r="4" ht="36.0" customHeight="1">
      <c r="A4" s="65">
        <v>1.0</v>
      </c>
      <c r="B4" s="65" t="s">
        <v>62</v>
      </c>
      <c r="C4" s="66" t="s">
        <v>32</v>
      </c>
      <c r="D4" s="56" t="s">
        <v>285</v>
      </c>
      <c r="E4" s="56" t="s">
        <v>60</v>
      </c>
      <c r="F4" s="67" t="s">
        <v>14</v>
      </c>
      <c r="G4" s="56"/>
    </row>
    <row r="5" ht="36.0" customHeight="1">
      <c r="A5" s="65">
        <v>2.0</v>
      </c>
      <c r="B5" s="65" t="s">
        <v>62</v>
      </c>
      <c r="C5" s="66" t="s">
        <v>32</v>
      </c>
      <c r="D5" s="56" t="s">
        <v>286</v>
      </c>
      <c r="E5" s="56" t="s">
        <v>60</v>
      </c>
      <c r="F5" s="67" t="s">
        <v>14</v>
      </c>
      <c r="G5" s="56"/>
    </row>
    <row r="6" ht="36.0" customHeight="1">
      <c r="A6" s="65">
        <v>3.0</v>
      </c>
      <c r="B6" s="65" t="s">
        <v>65</v>
      </c>
      <c r="C6" s="66" t="s">
        <v>32</v>
      </c>
      <c r="D6" s="56" t="s">
        <v>287</v>
      </c>
      <c r="E6" s="56" t="s">
        <v>60</v>
      </c>
      <c r="F6" s="67" t="s">
        <v>29</v>
      </c>
      <c r="G6" s="67" t="s">
        <v>67</v>
      </c>
    </row>
    <row r="7" ht="36.0" customHeight="1">
      <c r="A7" s="65">
        <v>4.0</v>
      </c>
      <c r="B7" s="65" t="s">
        <v>68</v>
      </c>
      <c r="C7" s="66" t="s">
        <v>32</v>
      </c>
      <c r="D7" s="56" t="s">
        <v>288</v>
      </c>
      <c r="E7" s="56" t="s">
        <v>60</v>
      </c>
      <c r="F7" s="67" t="s">
        <v>29</v>
      </c>
      <c r="G7" s="67" t="s">
        <v>289</v>
      </c>
    </row>
    <row r="8" ht="36.0" customHeight="1">
      <c r="A8" s="65">
        <v>5.0</v>
      </c>
      <c r="B8" s="65" t="s">
        <v>70</v>
      </c>
      <c r="C8" s="68" t="s">
        <v>33</v>
      </c>
      <c r="D8" s="56" t="s">
        <v>290</v>
      </c>
      <c r="E8" s="56" t="s">
        <v>60</v>
      </c>
      <c r="F8" s="67" t="s">
        <v>14</v>
      </c>
      <c r="G8" s="56"/>
    </row>
    <row r="9" ht="36.0" customHeight="1">
      <c r="A9" s="65">
        <v>6.0</v>
      </c>
      <c r="B9" s="65" t="s">
        <v>72</v>
      </c>
      <c r="C9" s="68" t="s">
        <v>33</v>
      </c>
      <c r="D9" s="56" t="s">
        <v>291</v>
      </c>
      <c r="E9" s="56" t="s">
        <v>60</v>
      </c>
      <c r="F9" s="67" t="s">
        <v>29</v>
      </c>
      <c r="G9" s="67" t="s">
        <v>289</v>
      </c>
    </row>
    <row r="10" ht="18.0" customHeight="1">
      <c r="A10" s="73" t="s">
        <v>292</v>
      </c>
      <c r="B10" s="19"/>
      <c r="C10" s="19"/>
      <c r="D10" s="19"/>
      <c r="E10" s="19"/>
      <c r="F10" s="19"/>
      <c r="G10" s="20"/>
    </row>
    <row r="11" ht="36.0" customHeight="1">
      <c r="A11" s="65">
        <v>7.0</v>
      </c>
      <c r="B11" s="65" t="s">
        <v>115</v>
      </c>
      <c r="C11" s="66" t="s">
        <v>32</v>
      </c>
      <c r="D11" s="56" t="s">
        <v>293</v>
      </c>
      <c r="E11" s="56" t="s">
        <v>109</v>
      </c>
      <c r="F11" s="67" t="s">
        <v>12</v>
      </c>
      <c r="G11" s="56"/>
    </row>
    <row r="12" ht="36.0" customHeight="1">
      <c r="A12" s="65">
        <v>8.0</v>
      </c>
      <c r="B12" s="65" t="s">
        <v>121</v>
      </c>
      <c r="C12" s="66" t="s">
        <v>32</v>
      </c>
      <c r="D12" s="56" t="s">
        <v>294</v>
      </c>
      <c r="E12" s="56" t="s">
        <v>109</v>
      </c>
      <c r="F12" s="67" t="s">
        <v>14</v>
      </c>
      <c r="G12" s="56"/>
    </row>
    <row r="13" ht="36.0" customHeight="1">
      <c r="A13" s="65">
        <v>9.0</v>
      </c>
      <c r="B13" s="65" t="s">
        <v>124</v>
      </c>
      <c r="C13" s="66" t="s">
        <v>32</v>
      </c>
      <c r="D13" s="56" t="s">
        <v>295</v>
      </c>
      <c r="E13" s="56" t="s">
        <v>296</v>
      </c>
      <c r="F13" s="67" t="s">
        <v>12</v>
      </c>
      <c r="G13" s="56"/>
    </row>
    <row r="14" ht="18.0" customHeight="1">
      <c r="A14" s="73" t="s">
        <v>217</v>
      </c>
      <c r="B14" s="19"/>
      <c r="C14" s="19"/>
      <c r="D14" s="19"/>
      <c r="E14" s="19"/>
      <c r="F14" s="19"/>
      <c r="G14" s="20"/>
    </row>
    <row r="15" ht="36.0" customHeight="1">
      <c r="A15" s="65">
        <v>10.0</v>
      </c>
      <c r="B15" s="65" t="s">
        <v>218</v>
      </c>
      <c r="C15" s="75" t="s">
        <v>35</v>
      </c>
      <c r="D15" s="56" t="s">
        <v>297</v>
      </c>
      <c r="E15" s="56" t="s">
        <v>60</v>
      </c>
      <c r="F15" s="67" t="s">
        <v>14</v>
      </c>
      <c r="G15" s="56"/>
    </row>
    <row r="16" ht="36.0" customHeight="1">
      <c r="A16" s="65">
        <v>11.0</v>
      </c>
      <c r="B16" s="65" t="s">
        <v>218</v>
      </c>
      <c r="C16" s="75" t="s">
        <v>35</v>
      </c>
      <c r="D16" s="56" t="s">
        <v>298</v>
      </c>
      <c r="E16" s="56" t="s">
        <v>171</v>
      </c>
      <c r="F16" s="67" t="s">
        <v>29</v>
      </c>
      <c r="G16" s="67" t="s">
        <v>299</v>
      </c>
    </row>
  </sheetData>
  <autoFilter ref="$A$2:$G$16"/>
  <mergeCells count="4">
    <mergeCell ref="A1:G1"/>
    <mergeCell ref="A3:G3"/>
    <mergeCell ref="A10:G10"/>
    <mergeCell ref="A14:G14"/>
  </mergeCells>
  <conditionalFormatting sqref="F3:F16">
    <cfRule type="cellIs" dxfId="6" priority="1" operator="equal">
      <formula>"Pass"</formula>
    </cfRule>
  </conditionalFormatting>
  <conditionalFormatting sqref="F3:F16">
    <cfRule type="cellIs" dxfId="10" priority="2" operator="equal">
      <formula>"Fail"</formula>
    </cfRule>
  </conditionalFormatting>
  <conditionalFormatting sqref="F3:F16">
    <cfRule type="cellIs" dxfId="8" priority="3" stopIfTrue="1" operator="equal">
      <formula>"N/A"</formula>
    </cfRule>
  </conditionalFormatting>
  <conditionalFormatting sqref="F3:F16">
    <cfRule type="cellIs" dxfId="9" priority="4" operator="equal">
      <formula>"Not Tested"</formula>
    </cfRule>
  </conditionalFormatting>
  <dataValidations>
    <dataValidation type="list" allowBlank="1" showInputMessage="1" showErrorMessage="1" prompt="Invalid status - Please choose: Pass, Fail, N/A, or Not Tested" sqref="F4:F9 F11:F13 F15:F16">
      <formula1>"Pass,Fail,N/A,Not Tested"</formula1>
    </dataValidation>
  </dataValidations>
  <printOptions/>
  <pageMargins bottom="1.0" footer="0.0" header="0.0" left="0.75" right="0.75" top="1.0"/>
  <pageSetup orientation="landscape"/>
  <drawing r:id="rId1"/>
</worksheet>
</file>

<file path=xl/worksheets/sheet1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4.43" defaultRowHeight="15.0"/>
  <cols>
    <col customWidth="1" min="1" max="1" width="37.0"/>
    <col customWidth="1" min="2" max="2" width="60.43"/>
    <col customWidth="1" min="3" max="3" width="116.14"/>
  </cols>
  <sheetData>
    <row r="1" ht="35.25" customHeight="1">
      <c r="A1" s="82" t="s">
        <v>300</v>
      </c>
      <c r="B1" s="19"/>
      <c r="C1" s="20"/>
    </row>
    <row r="2" ht="21.75" customHeight="1">
      <c r="A2" s="83" t="s">
        <v>301</v>
      </c>
      <c r="B2" s="11"/>
      <c r="C2" s="12"/>
    </row>
    <row r="3" ht="21.75" customHeight="1">
      <c r="A3" s="84"/>
      <c r="B3" s="15"/>
      <c r="C3" s="16"/>
    </row>
    <row r="4">
      <c r="A4" s="85" t="s">
        <v>302</v>
      </c>
      <c r="B4" s="85" t="s">
        <v>303</v>
      </c>
      <c r="C4" s="85" t="s">
        <v>51</v>
      </c>
    </row>
    <row r="5" ht="47.25" customHeight="1">
      <c r="A5" s="86" t="s">
        <v>304</v>
      </c>
      <c r="B5" s="87" t="s">
        <v>305</v>
      </c>
      <c r="C5" s="88" t="s">
        <v>306</v>
      </c>
    </row>
    <row r="6" ht="47.25" customHeight="1">
      <c r="A6" s="86" t="s">
        <v>307</v>
      </c>
      <c r="B6" s="87" t="s">
        <v>308</v>
      </c>
      <c r="C6" s="88" t="s">
        <v>309</v>
      </c>
    </row>
    <row r="7" ht="47.25" customHeight="1">
      <c r="A7" s="86" t="s">
        <v>310</v>
      </c>
      <c r="B7" s="87" t="s">
        <v>311</v>
      </c>
      <c r="C7" s="87" t="s">
        <v>312</v>
      </c>
    </row>
    <row r="8" ht="47.25" customHeight="1">
      <c r="A8" s="86" t="s">
        <v>313</v>
      </c>
      <c r="B8" s="87" t="s">
        <v>314</v>
      </c>
      <c r="C8" s="88" t="s">
        <v>315</v>
      </c>
    </row>
    <row r="9" ht="47.25" customHeight="1">
      <c r="A9" s="86" t="s">
        <v>316</v>
      </c>
      <c r="B9" s="87" t="s">
        <v>317</v>
      </c>
      <c r="C9" s="88" t="s">
        <v>318</v>
      </c>
    </row>
    <row r="10" ht="47.25" customHeight="1">
      <c r="A10" s="86" t="s">
        <v>319</v>
      </c>
      <c r="B10" s="87" t="s">
        <v>320</v>
      </c>
      <c r="C10" s="87" t="s">
        <v>321</v>
      </c>
    </row>
    <row r="11" ht="47.25" customHeight="1">
      <c r="A11" s="86" t="s">
        <v>322</v>
      </c>
      <c r="B11" s="87" t="s">
        <v>320</v>
      </c>
      <c r="C11" s="88" t="s">
        <v>323</v>
      </c>
    </row>
  </sheetData>
  <mergeCells count="2">
    <mergeCell ref="A1:C1"/>
    <mergeCell ref="A2:C3"/>
  </mergeCells>
  <hyperlinks>
    <hyperlink r:id="rId1" ref="A5"/>
    <hyperlink r:id="rId2" ref="A6"/>
    <hyperlink r:id="rId3" ref="A7"/>
    <hyperlink r:id="rId4" ref="A8"/>
    <hyperlink r:id="rId5" ref="A9"/>
    <hyperlink r:id="rId6" ref="A10"/>
    <hyperlink r:id="rId7" ref="A11"/>
  </hyperlinks>
  <drawing r:id="rId8"/>
</worksheet>
</file>